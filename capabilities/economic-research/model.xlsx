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Fig1a" sheetId="2" state="visible" r:id="rId2"/>
    <sheet xmlns:r="http://schemas.openxmlformats.org/officeDocument/2006/relationships" name="Fig1b" sheetId="3" state="visible" r:id="rId3"/>
  </sheets>
  <definedNames>
    <definedName name="Year">Data!$A$2:$A$20</definedName>
    <definedName name="DEALS">Data!$B$2:$B$20</definedName>
    <definedName name="INVEST_USD_M">Data!$C$2:$C$20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800" b="1"/>
            </a:pPr>
            <a:r>
              <a:rPr sz="1800" b="1"/>
              <a:t>Number of deals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3"/>
          <y val="0.17"/>
          <w val="0.82"/>
          <h val="0.64"/>
        </manualLayout>
      </layout>
      <scatterChart>
        <ser>
          <idx val="0"/>
          <order val="0"/>
          <tx>
            <strRef>
              <f>'Data'!B1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'Data'!$A$2:$A$20</f>
            </numRef>
          </xVal>
          <yVal>
            <numRef>
              <f>'Data'!$B$2:$B$20</f>
            </numRef>
          </yVal>
          <smooth val="0"/>
        </ser>
        <axId val="10"/>
        <axId val="20"/>
      </scatterChart>
      <valAx>
        <axId val="10"/>
        <scaling>
          <orientation val="minMax"/>
          <max val="2019"/>
          <min val="200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100" b="1"/>
                </a:pPr>
                <a:r>
                  <a:rPr sz="1100" b="1"/>
                  <a:t>Year</a:t>
                </a:r>
              </a:p>
            </rich>
          </tx>
          <overlay val="0"/>
        </title>
        <numFmt formatCode="0" sourceLinked="0"/>
        <majorTickMark val="none"/>
        <minorTickMark val="none"/>
        <crossAx val="20"/>
        <majorUnit val="2"/>
      </valAx>
      <valAx>
        <axId val="20"/>
        <scaling>
          <orientation val="minMax"/>
          <max val="3000"/>
          <min val="0"/>
        </scaling>
        <delete val="0"/>
        <axPos val="l"/>
        <majorGridlines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100" b="1"/>
                </a:pPr>
                <a:r>
                  <a:rPr sz="1100" b="1"/>
                  <a:t>Number of deals</a:t>
                </a:r>
              </a:p>
            </rich>
          </tx>
          <overlay val="0"/>
        </title>
        <numFmt formatCode="#,##0" sourceLinked="0"/>
        <majorTickMark val="none"/>
        <minorTickMark val="none"/>
        <crossAx val="10"/>
        <majorUnit val="50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800" b="1"/>
            </a:pPr>
            <a:r>
              <a:rPr sz="1800" b="1"/>
              <a:t>Dollar amount financed (in million $)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3"/>
          <y val="0.17"/>
          <w val="0.82"/>
          <h val="0.64"/>
        </manualLayout>
      </layout>
      <scatterChart>
        <ser>
          <idx val="0"/>
          <order val="0"/>
          <tx>
            <strRef>
              <f>'Data'!C1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'Data'!$A$2:$A$20</f>
            </numRef>
          </xVal>
          <yVal>
            <numRef>
              <f>'Data'!$C$2:$C$20</f>
            </numRef>
          </yVal>
          <smooth val="0"/>
        </ser>
        <axId val="10"/>
        <axId val="20"/>
      </scatterChart>
      <valAx>
        <axId val="10"/>
        <scaling>
          <orientation val="minMax"/>
          <max val="2019"/>
          <min val="200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100" b="1"/>
                </a:pPr>
                <a:r>
                  <a:rPr sz="1100" b="1"/>
                  <a:t>Year</a:t>
                </a:r>
              </a:p>
            </rich>
          </tx>
          <overlay val="0"/>
        </title>
        <numFmt formatCode="0" sourceLinked="0"/>
        <majorTickMark val="none"/>
        <minorTickMark val="none"/>
        <crossAx val="20"/>
        <majorUnit val="2"/>
      </valAx>
      <valAx>
        <axId val="20"/>
        <scaling>
          <orientation val="minMax"/>
          <max val="4000"/>
          <min val="0"/>
        </scaling>
        <delete val="0"/>
        <axPos val="l"/>
        <majorGridlines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100" b="1"/>
                </a:pPr>
                <a:r>
                  <a:rPr sz="1100" b="1"/>
                  <a:t>USD millions</a:t>
                </a:r>
              </a:p>
            </rich>
          </tx>
          <overlay val="0"/>
        </title>
        <numFmt formatCode="#,##0" sourceLinked="0"/>
        <majorTickMark val="none"/>
        <minorTickMark val="none"/>
        <crossAx val="10"/>
        <majorUnit val="50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5" customWidth="1" min="3" max="3"/>
    <col width="22" customWidth="1" min="4" max="4"/>
  </cols>
  <sheetData>
    <row r="1">
      <c r="A1" s="1" t="inlineStr">
        <is>
          <t>Year</t>
        </is>
      </c>
      <c r="B1" s="1" t="inlineStr">
        <is>
          <t>DEALS</t>
        </is>
      </c>
      <c r="C1" s="1" t="inlineStr">
        <is>
          <t>INVEST_USD_M</t>
        </is>
      </c>
      <c r="D1" s="1" t="inlineStr">
        <is>
          <t>Note</t>
        </is>
      </c>
      <c r="F1" s="1" t="inlineStr">
        <is>
          <t>Units</t>
        </is>
      </c>
    </row>
    <row r="2">
      <c r="A2" t="n">
        <v>2001</v>
      </c>
      <c r="B2" t="n">
        <v>20</v>
      </c>
      <c r="C2" t="n">
        <v>100</v>
      </c>
      <c r="D2" t="inlineStr">
        <is>
          <t>Extrapolated endpoint</t>
        </is>
      </c>
      <c r="F2" t="inlineStr">
        <is>
          <t>DEALS: early-stage start-ups financed by a VC, social media space, per year</t>
        </is>
      </c>
    </row>
    <row r="3">
      <c r="A3" t="n">
        <v>2002</v>
      </c>
      <c r="B3" t="n">
        <v>20</v>
      </c>
      <c r="C3" t="n">
        <v>80</v>
      </c>
      <c r="F3" t="inlineStr">
        <is>
          <t>INVEST_USD_M: USD millions (nominal), early-stage financings, per year</t>
        </is>
      </c>
    </row>
    <row r="4">
      <c r="A4" t="n">
        <v>2003</v>
      </c>
      <c r="B4" t="n">
        <v>20</v>
      </c>
      <c r="C4" t="n">
        <v>50</v>
      </c>
    </row>
    <row r="5">
      <c r="A5" t="n">
        <v>2004</v>
      </c>
      <c r="B5" t="n">
        <v>30</v>
      </c>
      <c r="C5" t="n">
        <v>70</v>
      </c>
      <c r="F5" t="inlineStr">
        <is>
          <t>Provenance: data/kill-zone.md</t>
        </is>
      </c>
    </row>
    <row r="6">
      <c r="A6" t="n">
        <v>2005</v>
      </c>
      <c r="B6" t="n">
        <v>70</v>
      </c>
      <c r="C6" t="n">
        <v>300</v>
      </c>
      <c r="F6" t="inlineStr">
        <is>
          <t>Source: Kamepalli, Rajan &amp; Zingales (2022), Kill Zone, NBER Working Paper 27146, Figure 1; underlying data PitchBook. Values read from the published figure (approximate).</t>
        </is>
      </c>
    </row>
    <row r="7">
      <c r="A7" t="n">
        <v>2006</v>
      </c>
      <c r="B7" t="n">
        <v>140</v>
      </c>
      <c r="C7" t="n">
        <v>330</v>
      </c>
    </row>
    <row r="8">
      <c r="A8" t="n">
        <v>2007</v>
      </c>
      <c r="B8" t="n">
        <v>240</v>
      </c>
      <c r="C8" t="n">
        <v>550</v>
      </c>
    </row>
    <row r="9">
      <c r="A9" t="n">
        <v>2008</v>
      </c>
      <c r="B9" t="n">
        <v>290</v>
      </c>
      <c r="C9" t="n">
        <v>530</v>
      </c>
    </row>
    <row r="10">
      <c r="A10" t="n">
        <v>2009</v>
      </c>
      <c r="B10" t="n">
        <v>270</v>
      </c>
      <c r="C10" t="n">
        <v>300</v>
      </c>
    </row>
    <row r="11">
      <c r="A11" t="n">
        <v>2010</v>
      </c>
      <c r="B11" t="n">
        <v>470</v>
      </c>
      <c r="C11" t="n">
        <v>490</v>
      </c>
    </row>
    <row r="12">
      <c r="A12" t="n">
        <v>2011</v>
      </c>
      <c r="B12" t="n">
        <v>870</v>
      </c>
      <c r="C12" t="n">
        <v>1160</v>
      </c>
    </row>
    <row r="13">
      <c r="A13" t="n">
        <v>2012</v>
      </c>
      <c r="B13" t="n">
        <v>1260</v>
      </c>
      <c r="C13" t="n">
        <v>1010</v>
      </c>
    </row>
    <row r="14">
      <c r="A14" t="n">
        <v>2013</v>
      </c>
      <c r="B14" t="n">
        <v>1810</v>
      </c>
      <c r="C14" t="n">
        <v>1140</v>
      </c>
    </row>
    <row r="15">
      <c r="A15" t="n">
        <v>2014</v>
      </c>
      <c r="B15" t="n">
        <v>2220</v>
      </c>
      <c r="C15" t="n">
        <v>2220</v>
      </c>
    </row>
    <row r="16">
      <c r="A16" t="n">
        <v>2015</v>
      </c>
      <c r="B16" t="n">
        <v>2170</v>
      </c>
      <c r="C16" t="n">
        <v>2320</v>
      </c>
    </row>
    <row r="17">
      <c r="A17" t="n">
        <v>2016</v>
      </c>
      <c r="B17" t="n">
        <v>1890</v>
      </c>
      <c r="C17" t="n">
        <v>3070</v>
      </c>
    </row>
    <row r="18">
      <c r="A18" t="n">
        <v>2017</v>
      </c>
      <c r="B18" t="n">
        <v>1470</v>
      </c>
      <c r="C18" t="n">
        <v>2560</v>
      </c>
    </row>
    <row r="19">
      <c r="A19" t="n">
        <v>2018</v>
      </c>
      <c r="B19" t="n">
        <v>1110</v>
      </c>
      <c r="C19" t="n">
        <v>2200</v>
      </c>
    </row>
    <row r="20">
      <c r="A20" t="n">
        <v>2019</v>
      </c>
      <c r="B20" t="n">
        <v>580</v>
      </c>
      <c r="C20" t="n">
        <v>710</v>
      </c>
      <c r="D20" t="inlineStr">
        <is>
          <t>Extrapolated endpoint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6:A26"/>
  <sheetViews>
    <sheetView workbookViewId="0">
      <selection activeCell="A1" sqref="A1"/>
    </sheetView>
  </sheetViews>
  <sheetFormatPr baseColWidth="8" defaultRowHeight="15"/>
  <sheetData>
    <row r="26">
      <c r="A26" t="inlineStr">
        <is>
          <t>Source: Kamepalli, Rajan &amp; Zingales (2022), Kill Zone, NBER Working Paper 27146, Figure 1; underlying data PitchBook. Values read from the published figure (approximate).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6:A26"/>
  <sheetViews>
    <sheetView workbookViewId="0">
      <selection activeCell="A1" sqref="A1"/>
    </sheetView>
  </sheetViews>
  <sheetFormatPr baseColWidth="8" defaultRowHeight="15"/>
  <sheetData>
    <row r="26">
      <c r="A26" t="inlineStr">
        <is>
          <t>Source: Kamepalli, Rajan &amp; Zingales (2022), Kill Zone, NBER Working Paper 27146, Figure 1; underlying data PitchBook. Values read from the published figure (approximate).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2026-10-11T07:19:55Z</dcterms:created>
  <dcterms:modified xmlns:dcterms="http://purl.org/dc/terms/" xmlns:xsi="http://www.w3.org/2001/XMLSchema-instance" xsi:type="dcterms:W3CDTF">2026-10-11T07:19:55Z</dcterms:modified>
</cp:coreProperties>
</file>