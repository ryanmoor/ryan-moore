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Inputs" sheetId="1" state="visible" r:id="rId1"/>
    <sheet name="Calc" sheetId="2" state="visible" r:id="rId2"/>
    <sheet name="Output" sheetId="3" state="visible" r:id="rId3"/>
  </sheets>
  <definedNames>
    <definedName name="Price">Inputs!$B$2</definedName>
    <definedName name="VariableCostPerUnit">Inputs!$B$3</definedName>
    <definedName name="FixedCosts">Inputs!$B$4</definedName>
    <definedName name="Volume">Inputs!$B$5</definedName>
    <definedName name="ContributionMarginPerUnit">Calc!$B$2</definedName>
    <definedName name="ContributionMarginPct">Calc!$B$3</definedName>
    <definedName name="BreakEvenUnits">Calc!$B$4</definedName>
    <definedName name="BreakEvenRevenue">Calc!$B$5</definedName>
    <definedName name="TotalContributionAtVolume">Calc!$B$6</definedName>
    <definedName name="NetOfFixed">Calc!$B$7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  <sz val="9"/>
    </font>
    <font>
      <b val="1"/>
      <color rgb="00FFFFFF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7D6"/>
        <bgColor rgb="00FFF7D6"/>
      </patternFill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0" fillId="2" borderId="0" pivotButton="0" quotePrefix="0" xfId="0"/>
    <xf numFmtId="0" fontId="3" fillId="0" borderId="0" pivotButton="0" quotePrefix="0" xfId="0"/>
    <xf numFmtId="3" fontId="0" fillId="2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3" borderId="0" pivotButton="0" quotePrefix="0" xfId="0"/>
    <xf numFmtId="9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55" customWidth="1" min="3" max="3"/>
  </cols>
  <sheetData>
    <row r="1">
      <c r="A1" s="1" t="inlineStr">
        <is>
          <t>Marginal Analysis — Inputs</t>
        </is>
      </c>
    </row>
    <row r="2">
      <c r="A2" s="2" t="inlineStr">
        <is>
          <t>Price</t>
        </is>
      </c>
      <c r="B2" s="3" t="n">
        <v>25</v>
      </c>
      <c r="C2" s="4" t="inlineStr">
        <is>
          <t>Selling price per unit</t>
        </is>
      </c>
    </row>
    <row r="3">
      <c r="A3" s="2" t="inlineStr">
        <is>
          <t>Variable Cost Per Unit</t>
        </is>
      </c>
      <c r="B3" s="3" t="n">
        <v>14</v>
      </c>
      <c r="C3" s="4" t="inlineStr">
        <is>
          <t>Variable cost per unit (materials, direct labor, etc.)</t>
        </is>
      </c>
    </row>
    <row r="4">
      <c r="A4" s="2" t="inlineStr">
        <is>
          <t>Fixed Costs</t>
        </is>
      </c>
      <c r="B4" s="3" t="n">
        <v>8000</v>
      </c>
      <c r="C4" s="4" t="inlineStr">
        <is>
          <t>Fixed costs in scope for this decision</t>
        </is>
      </c>
    </row>
    <row r="5">
      <c r="A5" s="2" t="inlineStr">
        <is>
          <t>Volume</t>
        </is>
      </c>
      <c r="B5" s="5" t="n">
        <v>1500</v>
      </c>
      <c r="C5" s="4" t="inlineStr">
        <is>
          <t>Units under consideration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16" customWidth="1" min="4" max="4"/>
  </cols>
  <sheetData>
    <row r="1">
      <c r="A1" s="1" t="inlineStr">
        <is>
          <t>Marginal Analysis — Calc</t>
        </is>
      </c>
    </row>
    <row r="2">
      <c r="A2" s="2" t="inlineStr">
        <is>
          <t>Contribution Margin Per Unit</t>
        </is>
      </c>
      <c r="B2" s="6">
        <f>Price-VariableCostPerUnit</f>
        <v/>
      </c>
    </row>
    <row r="3">
      <c r="A3" s="2" t="inlineStr">
        <is>
          <t>Contribution Margin %</t>
        </is>
      </c>
      <c r="B3" s="7">
        <f>ContributionMarginPerUnit/Price</f>
        <v/>
      </c>
    </row>
    <row r="4">
      <c r="A4" s="2" t="inlineStr">
        <is>
          <t>Break-Even Units</t>
        </is>
      </c>
      <c r="B4" s="8">
        <f>FixedCosts/ContributionMarginPerUnit</f>
        <v/>
      </c>
    </row>
    <row r="5">
      <c r="A5" s="2" t="inlineStr">
        <is>
          <t>Break-Even Revenue</t>
        </is>
      </c>
      <c r="B5" s="6">
        <f>BreakEvenUnits*Price</f>
        <v/>
      </c>
    </row>
    <row r="6">
      <c r="A6" s="2" t="inlineStr">
        <is>
          <t>Total Contribution At Volume</t>
        </is>
      </c>
      <c r="B6" s="6">
        <f>ContributionMarginPerUnit*Volume</f>
        <v/>
      </c>
    </row>
    <row r="7">
      <c r="A7" s="2" t="inlineStr">
        <is>
          <t>Net Of Fixed</t>
        </is>
      </c>
      <c r="B7" s="6">
        <f>TotalContributionAtVolume-FixedCosts</f>
        <v/>
      </c>
    </row>
    <row r="10">
      <c r="A10" s="2" t="inlineStr">
        <is>
          <t>Sensitivity — Price ± steps</t>
        </is>
      </c>
    </row>
    <row r="11">
      <c r="A11" s="9" t="inlineStr">
        <is>
          <t>Price Δ</t>
        </is>
      </c>
      <c r="B11" s="9" t="inlineStr">
        <is>
          <t>Price</t>
        </is>
      </c>
      <c r="C11" s="9" t="inlineStr">
        <is>
          <t>Contribution Margin %</t>
        </is>
      </c>
      <c r="D11" s="9" t="inlineStr">
        <is>
          <t>Net Of Fixed</t>
        </is>
      </c>
    </row>
    <row r="12">
      <c r="A12" s="10" t="n">
        <v>-0.1</v>
      </c>
      <c r="B12" s="6">
        <f>Price*(1+A12)</f>
        <v/>
      </c>
      <c r="C12" s="7">
        <f>(B12-VariableCostPerUnit)/B12</f>
        <v/>
      </c>
      <c r="D12" s="6">
        <f>(B12-VariableCostPerUnit)*Volume-FixedCosts</f>
        <v/>
      </c>
    </row>
    <row r="13">
      <c r="A13" s="10" t="n">
        <v>-0.05</v>
      </c>
      <c r="B13" s="6">
        <f>Price*(1+A13)</f>
        <v/>
      </c>
      <c r="C13" s="7">
        <f>(B13-VariableCostPerUnit)/B13</f>
        <v/>
      </c>
      <c r="D13" s="6">
        <f>(B13-VariableCostPerUnit)*Volume-FixedCosts</f>
        <v/>
      </c>
    </row>
    <row r="14">
      <c r="A14" s="10" t="n">
        <v>0</v>
      </c>
      <c r="B14" s="6">
        <f>Price*(1+A14)</f>
        <v/>
      </c>
      <c r="C14" s="7">
        <f>(B14-VariableCostPerUnit)/B14</f>
        <v/>
      </c>
      <c r="D14" s="6">
        <f>(B14-VariableCostPerUnit)*Volume-FixedCosts</f>
        <v/>
      </c>
    </row>
    <row r="15">
      <c r="A15" s="10" t="n">
        <v>0.05</v>
      </c>
      <c r="B15" s="6">
        <f>Price*(1+A15)</f>
        <v/>
      </c>
      <c r="C15" s="7">
        <f>(B15-VariableCostPerUnit)/B15</f>
        <v/>
      </c>
      <c r="D15" s="6">
        <f>(B15-VariableCostPerUnit)*Volume-FixedCosts</f>
        <v/>
      </c>
    </row>
    <row r="16">
      <c r="A16" s="10" t="n">
        <v>0.1</v>
      </c>
      <c r="B16" s="6">
        <f>Price*(1+A16)</f>
        <v/>
      </c>
      <c r="C16" s="7">
        <f>(B16-VariableCostPerUnit)/B16</f>
        <v/>
      </c>
      <c r="D16" s="6">
        <f>(B16-VariableCostPerUnit)*Volume-FixedCosts</f>
        <v/>
      </c>
    </row>
  </sheetData>
  <mergeCells count="2">
    <mergeCell ref="A1:C1"/>
    <mergeCell ref="A10:D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Marginal Analysis — Output</t>
        </is>
      </c>
    </row>
    <row r="3">
      <c r="A3" s="2" t="inlineStr">
        <is>
          <t>The answer, in one line:</t>
        </is>
      </c>
    </row>
    <row r="4">
      <c r="A4" s="11">
        <f>IF(NetOfFixed&gt;0,"Yes — proceed. Net contribution of "&amp;TEXT(NetOfFixed,"$#,##0")&amp;" after fixed costs.","No — do not proceed. Shortfall of "&amp;TEXT(-NetOfFixed,"$#,##0")&amp;" after fixed costs.")</f>
        <v/>
      </c>
    </row>
    <row r="6">
      <c r="A6" s="2" t="inlineStr">
        <is>
          <t>Contribution Margin Per Unit</t>
        </is>
      </c>
      <c r="B6" s="6">
        <f>ContributionMarginPerUnit</f>
        <v/>
      </c>
    </row>
    <row r="7">
      <c r="A7" s="2" t="inlineStr">
        <is>
          <t>Contribution Margin %</t>
        </is>
      </c>
      <c r="B7" s="7">
        <f>ContributionMarginPct</f>
        <v/>
      </c>
    </row>
    <row r="8">
      <c r="A8" s="2" t="inlineStr">
        <is>
          <t>Break-Even Units</t>
        </is>
      </c>
      <c r="B8" s="8">
        <f>BreakEvenUnits</f>
        <v/>
      </c>
    </row>
    <row r="9">
      <c r="A9" s="2" t="inlineStr">
        <is>
          <t>Net Of Fixed At Volume</t>
        </is>
      </c>
      <c r="B9" s="6">
        <f>NetOfFixed</f>
        <v/>
      </c>
    </row>
    <row r="11">
      <c r="A11" s="4" t="inlineStr">
        <is>
          <t>See Calc sheet for the full sensitivity table.</t>
        </is>
      </c>
    </row>
  </sheetData>
  <mergeCells count="2">
    <mergeCell ref="A4:D4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2026-09-03T08:14:06Z</dcterms:created>
  <dcterms:modified xsi:type="dcterms:W3CDTF">2026-09-03T08:14:06Z</dcterms:modified>
</cp:coreProperties>
</file>