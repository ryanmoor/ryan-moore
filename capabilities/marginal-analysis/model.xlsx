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835600\Downloads\"/>
    </mc:Choice>
  </mc:AlternateContent>
  <xr:revisionPtr revIDLastSave="0" documentId="11_5A50A346DD5F0E7C12C8198F19BFE2FA10518263" xr6:coauthVersionLast="47" xr6:coauthVersionMax="47" xr10:uidLastSave="{00000000-0000-0000-0000-000000000000}"/>
  <bookViews>
    <workbookView xWindow="-23148" yWindow="1320" windowWidth="23256" windowHeight="12456" activeTab="3" xr2:uid="{00000000-000D-0000-FFFF-FFFF00000000}"/>
  </bookViews>
  <sheets>
    <sheet name="Inputs" sheetId="1" r:id="rId1"/>
    <sheet name="Calc" sheetId="2" r:id="rId2"/>
    <sheet name="Output" sheetId="3" r:id="rId3"/>
    <sheet name="MC Schedule" sheetId="4" r:id="rId4"/>
  </sheets>
  <definedNames>
    <definedName name="BedsCarrots">Calc!$B$5</definedName>
    <definedName name="BedsMesclun">Calc!$B$6</definedName>
    <definedName name="BedsTomatoes">Calc!$B$4</definedName>
    <definedName name="DimReturnsCarrots">Inputs!$F$6</definedName>
    <definedName name="DimReturnsMesclun">Inputs!$F$7</definedName>
    <definedName name="DimReturnsTomatoes">Inputs!$F$5</definedName>
    <definedName name="FertilizerCost">Calc!$B$22</definedName>
    <definedName name="FertilizerPerBedCarrots">Inputs!$E$6</definedName>
    <definedName name="FertilizerPerBedMesclun">Inputs!$E$7</definedName>
    <definedName name="FertilizerPerBedTomatoes">Inputs!$E$5</definedName>
    <definedName name="FixedCosts">Inputs!$B$11</definedName>
    <definedName name="LaborCost">Calc!$B$18</definedName>
    <definedName name="LaborHoursCarrots">Calc!$B$10</definedName>
    <definedName name="LaborHoursMesclun">Calc!$B$11</definedName>
    <definedName name="LaborHoursTomatoes">Calc!$B$9</definedName>
    <definedName name="LaborHrsPerBedCarrots">Inputs!$D$6</definedName>
    <definedName name="LaborHrsPerBedMesclun">Inputs!$D$7</definedName>
    <definedName name="LaborHrsPerBedTomatoes">Inputs!$D$5</definedName>
    <definedName name="MaxBedsCarrots">Inputs!$B$6</definedName>
    <definedName name="MaxBedsMesclun">Inputs!$B$7</definedName>
    <definedName name="MaxBedsTomatoes">Inputs!$B$5</definedName>
    <definedName name="OwnLaborHours">Inputs!$B$13</definedName>
    <definedName name="OwnLaborHoursUsed">Calc!$B$15</definedName>
    <definedName name="OwnWageRate">Inputs!$B$14</definedName>
    <definedName name="Profit">Calc!$B$24</definedName>
    <definedName name="Revenue">Calc!$B$21</definedName>
    <definedName name="RevenuePerBedCarrots">Inputs!$C$6</definedName>
    <definedName name="RevenuePerBedMesclun">Inputs!$C$7</definedName>
    <definedName name="RevenuePerBedTomatoes">Inputs!$C$5</definedName>
    <definedName name="SeasonWeeks">Inputs!$B$12</definedName>
    <definedName name="solver_adj" localSheetId="1" hidden="1">Calc!$B$4:$B$6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Calc!$B$4:$B$6</definedName>
    <definedName name="solver_lhs2" localSheetId="1" hidden="1">Calc!$B$4:$B$6</definedName>
    <definedName name="solver_lhs3" localSheetId="1" hidden="1">Calc!$B$5</definedName>
    <definedName name="solver_lhs4" localSheetId="1" hidden="1">Calc!$B$6</definedName>
    <definedName name="solver_lhs5" localSheetId="1" hidden="1">Calc!$B$4</definedName>
    <definedName name="solver_lhs6" localSheetId="1" hidden="1">Calc!$B$27</definedName>
    <definedName name="solver_lhs7" localSheetId="1" hidden="1">Calc!$B$12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7</definedName>
    <definedName name="solver_nwt" localSheetId="1" hidden="1">1</definedName>
    <definedName name="solver_opt" localSheetId="1" hidden="1">Calc!$B$24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3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el7" localSheetId="1" hidden="1">1</definedName>
    <definedName name="solver_rhs1" localSheetId="1" hidden="1">"integer"</definedName>
    <definedName name="solver_rhs2" localSheetId="1" hidden="1">0</definedName>
    <definedName name="solver_rhs3" localSheetId="1" hidden="1">20</definedName>
    <definedName name="solver_rhs4" localSheetId="1" hidden="1">30</definedName>
    <definedName name="solver_rhs5" localSheetId="1" hidden="1">20</definedName>
    <definedName name="solver_rhs6" localSheetId="1" hidden="1">64</definedName>
    <definedName name="solver_rhs7" localSheetId="1" hidden="1">TotalLaborCapacity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TempHoursPerWorker">Inputs!$B$16</definedName>
    <definedName name="TempLaborCapacity">Calc!$B$17</definedName>
    <definedName name="TempLaborHoursUsed">Calc!$B$16</definedName>
    <definedName name="TempWageRate">Inputs!$B$17</definedName>
    <definedName name="TempWorkerCount">Inputs!$B$15</definedName>
    <definedName name="TotalBedCap">Inputs!$B$10</definedName>
    <definedName name="TotalBedsPlanted">Calc!$B$27</definedName>
    <definedName name="TotalCost">Calc!$B$23</definedName>
    <definedName name="TotalLaborCapacity">Calc!$B$28</definedName>
    <definedName name="TotalLaborHours">Calc!$B$12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" i="4" l="1"/>
  <c r="D97" i="4"/>
  <c r="B97" i="4"/>
  <c r="H96" i="4"/>
  <c r="D96" i="4"/>
  <c r="B96" i="4"/>
  <c r="H95" i="4"/>
  <c r="D95" i="4"/>
  <c r="B95" i="4"/>
  <c r="C95" i="4" s="1"/>
  <c r="E95" i="4" s="1"/>
  <c r="H94" i="4"/>
  <c r="D94" i="4"/>
  <c r="B94" i="4"/>
  <c r="H93" i="4"/>
  <c r="D93" i="4"/>
  <c r="B93" i="4"/>
  <c r="H92" i="4"/>
  <c r="D92" i="4"/>
  <c r="B92" i="4"/>
  <c r="H91" i="4"/>
  <c r="D91" i="4"/>
  <c r="B91" i="4"/>
  <c r="H90" i="4"/>
  <c r="D90" i="4"/>
  <c r="B90" i="4"/>
  <c r="H89" i="4"/>
  <c r="D89" i="4"/>
  <c r="B89" i="4"/>
  <c r="H88" i="4"/>
  <c r="D88" i="4"/>
  <c r="B88" i="4"/>
  <c r="H87" i="4"/>
  <c r="D87" i="4"/>
  <c r="B87" i="4"/>
  <c r="H86" i="4"/>
  <c r="D86" i="4"/>
  <c r="B86" i="4"/>
  <c r="H85" i="4"/>
  <c r="D85" i="4"/>
  <c r="B85" i="4"/>
  <c r="H84" i="4"/>
  <c r="D84" i="4"/>
  <c r="B84" i="4"/>
  <c r="H83" i="4"/>
  <c r="D83" i="4"/>
  <c r="B83" i="4"/>
  <c r="C83" i="4" s="1"/>
  <c r="E83" i="4" s="1"/>
  <c r="H82" i="4"/>
  <c r="D82" i="4"/>
  <c r="B82" i="4"/>
  <c r="H81" i="4"/>
  <c r="D81" i="4"/>
  <c r="B81" i="4"/>
  <c r="H80" i="4"/>
  <c r="D80" i="4"/>
  <c r="B80" i="4"/>
  <c r="H79" i="4"/>
  <c r="D79" i="4"/>
  <c r="B79" i="4"/>
  <c r="H78" i="4"/>
  <c r="D78" i="4"/>
  <c r="B78" i="4"/>
  <c r="H77" i="4"/>
  <c r="D77" i="4"/>
  <c r="B77" i="4"/>
  <c r="C77" i="4" s="1"/>
  <c r="E77" i="4" s="1"/>
  <c r="H76" i="4"/>
  <c r="D76" i="4"/>
  <c r="B76" i="4"/>
  <c r="H75" i="4"/>
  <c r="D75" i="4"/>
  <c r="B75" i="4"/>
  <c r="H74" i="4"/>
  <c r="D74" i="4"/>
  <c r="B74" i="4"/>
  <c r="H73" i="4"/>
  <c r="D73" i="4"/>
  <c r="B73" i="4"/>
  <c r="H72" i="4"/>
  <c r="D72" i="4"/>
  <c r="B72" i="4"/>
  <c r="H71" i="4"/>
  <c r="D71" i="4"/>
  <c r="B71" i="4"/>
  <c r="H70" i="4"/>
  <c r="D70" i="4"/>
  <c r="B70" i="4"/>
  <c r="H69" i="4"/>
  <c r="D69" i="4"/>
  <c r="B69" i="4"/>
  <c r="H68" i="4"/>
  <c r="D68" i="4"/>
  <c r="B68" i="4"/>
  <c r="C68" i="4" s="1"/>
  <c r="E68" i="4" s="1"/>
  <c r="H67" i="4"/>
  <c r="D67" i="4"/>
  <c r="B67" i="4"/>
  <c r="H66" i="4"/>
  <c r="D66" i="4"/>
  <c r="B66" i="4"/>
  <c r="H65" i="4"/>
  <c r="D65" i="4"/>
  <c r="B65" i="4"/>
  <c r="H64" i="4"/>
  <c r="D64" i="4"/>
  <c r="B64" i="4"/>
  <c r="D63" i="4"/>
  <c r="B63" i="4"/>
  <c r="H58" i="4"/>
  <c r="D58" i="4"/>
  <c r="H57" i="4"/>
  <c r="D57" i="4"/>
  <c r="H56" i="4"/>
  <c r="D56" i="4"/>
  <c r="H55" i="4"/>
  <c r="D55" i="4"/>
  <c r="H54" i="4"/>
  <c r="D54" i="4"/>
  <c r="H53" i="4"/>
  <c r="D53" i="4"/>
  <c r="H52" i="4"/>
  <c r="D52" i="4"/>
  <c r="H51" i="4"/>
  <c r="D51" i="4"/>
  <c r="H50" i="4"/>
  <c r="D50" i="4"/>
  <c r="H49" i="4"/>
  <c r="D49" i="4"/>
  <c r="H48" i="4"/>
  <c r="D48" i="4"/>
  <c r="H47" i="4"/>
  <c r="D47" i="4"/>
  <c r="H46" i="4"/>
  <c r="D46" i="4"/>
  <c r="H45" i="4"/>
  <c r="D45" i="4"/>
  <c r="H44" i="4"/>
  <c r="D44" i="4"/>
  <c r="H43" i="4"/>
  <c r="D43" i="4"/>
  <c r="H42" i="4"/>
  <c r="D42" i="4"/>
  <c r="H41" i="4"/>
  <c r="D41" i="4"/>
  <c r="H40" i="4"/>
  <c r="D40" i="4"/>
  <c r="H39" i="4"/>
  <c r="D39" i="4"/>
  <c r="H38" i="4"/>
  <c r="D38" i="4"/>
  <c r="H37" i="4"/>
  <c r="D37" i="4"/>
  <c r="H36" i="4"/>
  <c r="D36" i="4"/>
  <c r="H35" i="4"/>
  <c r="D35" i="4"/>
  <c r="D34" i="4"/>
  <c r="H29" i="4"/>
  <c r="D29" i="4"/>
  <c r="B29" i="4"/>
  <c r="C29" i="4" s="1"/>
  <c r="E29" i="4" s="1"/>
  <c r="H28" i="4"/>
  <c r="D28" i="4"/>
  <c r="B28" i="4"/>
  <c r="H27" i="4"/>
  <c r="D27" i="4"/>
  <c r="B27" i="4"/>
  <c r="H26" i="4"/>
  <c r="D26" i="4"/>
  <c r="B26" i="4"/>
  <c r="H25" i="4"/>
  <c r="D25" i="4"/>
  <c r="B25" i="4"/>
  <c r="H24" i="4"/>
  <c r="D24" i="4"/>
  <c r="B24" i="4"/>
  <c r="C24" i="4" s="1"/>
  <c r="E24" i="4" s="1"/>
  <c r="J24" i="4" s="1"/>
  <c r="H23" i="4"/>
  <c r="D23" i="4"/>
  <c r="B23" i="4"/>
  <c r="C23" i="4" s="1"/>
  <c r="E23" i="4" s="1"/>
  <c r="H22" i="4"/>
  <c r="D22" i="4"/>
  <c r="B22" i="4"/>
  <c r="C22" i="4" s="1"/>
  <c r="E22" i="4" s="1"/>
  <c r="H21" i="4"/>
  <c r="D21" i="4"/>
  <c r="B21" i="4"/>
  <c r="H20" i="4"/>
  <c r="D20" i="4"/>
  <c r="B20" i="4"/>
  <c r="C20" i="4" s="1"/>
  <c r="E20" i="4" s="1"/>
  <c r="H19" i="4"/>
  <c r="D19" i="4"/>
  <c r="B19" i="4"/>
  <c r="H18" i="4"/>
  <c r="D18" i="4"/>
  <c r="B18" i="4"/>
  <c r="C18" i="4" s="1"/>
  <c r="H17" i="4"/>
  <c r="D17" i="4"/>
  <c r="B17" i="4"/>
  <c r="C17" i="4" s="1"/>
  <c r="E17" i="4" s="1"/>
  <c r="H16" i="4"/>
  <c r="D16" i="4"/>
  <c r="B16" i="4"/>
  <c r="H15" i="4"/>
  <c r="D15" i="4"/>
  <c r="B15" i="4"/>
  <c r="H14" i="4"/>
  <c r="D14" i="4"/>
  <c r="B14" i="4"/>
  <c r="C14" i="4" s="1"/>
  <c r="E14" i="4" s="1"/>
  <c r="H13" i="4"/>
  <c r="D13" i="4"/>
  <c r="B13" i="4"/>
  <c r="H12" i="4"/>
  <c r="D12" i="4"/>
  <c r="B12" i="4"/>
  <c r="C12" i="4" s="1"/>
  <c r="H11" i="4"/>
  <c r="D11" i="4"/>
  <c r="B11" i="4"/>
  <c r="C11" i="4" s="1"/>
  <c r="E11" i="4" s="1"/>
  <c r="H10" i="4"/>
  <c r="D10" i="4"/>
  <c r="B10" i="4"/>
  <c r="D9" i="4"/>
  <c r="B9" i="4"/>
  <c r="C9" i="4" s="1"/>
  <c r="E9" i="4" s="1"/>
  <c r="J9" i="4" s="1"/>
  <c r="B27" i="2"/>
  <c r="B21" i="3" s="1"/>
  <c r="B22" i="2"/>
  <c r="B21" i="2"/>
  <c r="B17" i="2"/>
  <c r="B28" i="2" s="1"/>
  <c r="B11" i="2"/>
  <c r="B9" i="2"/>
  <c r="B17" i="1"/>
  <c r="B14" i="1"/>
  <c r="C93" i="4" s="1"/>
  <c r="D6" i="1"/>
  <c r="B23" i="3"/>
  <c r="B20" i="3"/>
  <c r="B19" i="3"/>
  <c r="B18" i="3"/>
  <c r="J17" i="4" l="1"/>
  <c r="G17" i="4"/>
  <c r="G14" i="4"/>
  <c r="J14" i="4"/>
  <c r="J23" i="4"/>
  <c r="G23" i="4"/>
  <c r="G20" i="4"/>
  <c r="J20" i="4"/>
  <c r="C26" i="4"/>
  <c r="E26" i="4" s="1"/>
  <c r="C89" i="4"/>
  <c r="E89" i="4" s="1"/>
  <c r="J11" i="4"/>
  <c r="G11" i="4"/>
  <c r="G95" i="4"/>
  <c r="J95" i="4"/>
  <c r="J29" i="4"/>
  <c r="G29" i="4"/>
  <c r="F11" i="4"/>
  <c r="F17" i="4"/>
  <c r="I17" i="4" s="1"/>
  <c r="I11" i="4"/>
  <c r="F23" i="4"/>
  <c r="I23" i="4" s="1"/>
  <c r="E12" i="4"/>
  <c r="E18" i="4"/>
  <c r="G83" i="4"/>
  <c r="F83" i="4"/>
  <c r="J83" i="4"/>
  <c r="B55" i="4"/>
  <c r="C55" i="4" s="1"/>
  <c r="E55" i="4" s="1"/>
  <c r="B49" i="4"/>
  <c r="C49" i="4" s="1"/>
  <c r="E49" i="4" s="1"/>
  <c r="B43" i="4"/>
  <c r="C43" i="4" s="1"/>
  <c r="E43" i="4" s="1"/>
  <c r="B37" i="4"/>
  <c r="C37" i="4" s="1"/>
  <c r="E37" i="4" s="1"/>
  <c r="B34" i="4"/>
  <c r="B45" i="4"/>
  <c r="B56" i="4"/>
  <c r="B50" i="4"/>
  <c r="C50" i="4" s="1"/>
  <c r="E50" i="4" s="1"/>
  <c r="B44" i="4"/>
  <c r="C44" i="4" s="1"/>
  <c r="E44" i="4" s="1"/>
  <c r="B38" i="4"/>
  <c r="C38" i="4" s="1"/>
  <c r="E38" i="4" s="1"/>
  <c r="B10" i="2"/>
  <c r="B57" i="4"/>
  <c r="B51" i="4"/>
  <c r="B39" i="4"/>
  <c r="B58" i="4"/>
  <c r="C58" i="4" s="1"/>
  <c r="E58" i="4" s="1"/>
  <c r="B52" i="4"/>
  <c r="C52" i="4" s="1"/>
  <c r="E52" i="4" s="1"/>
  <c r="B46" i="4"/>
  <c r="C46" i="4" s="1"/>
  <c r="E46" i="4" s="1"/>
  <c r="B40" i="4"/>
  <c r="C40" i="4" s="1"/>
  <c r="E40" i="4" s="1"/>
  <c r="B53" i="4"/>
  <c r="C53" i="4" s="1"/>
  <c r="E53" i="4" s="1"/>
  <c r="B47" i="4"/>
  <c r="C47" i="4" s="1"/>
  <c r="E47" i="4" s="1"/>
  <c r="B41" i="4"/>
  <c r="C41" i="4" s="1"/>
  <c r="E41" i="4" s="1"/>
  <c r="B35" i="4"/>
  <c r="C35" i="4" s="1"/>
  <c r="E35" i="4" s="1"/>
  <c r="B54" i="4"/>
  <c r="C54" i="4" s="1"/>
  <c r="E54" i="4" s="1"/>
  <c r="B48" i="4"/>
  <c r="C48" i="4" s="1"/>
  <c r="E48" i="4" s="1"/>
  <c r="B42" i="4"/>
  <c r="C42" i="4" s="1"/>
  <c r="E42" i="4" s="1"/>
  <c r="B36" i="4"/>
  <c r="C36" i="4" s="1"/>
  <c r="E36" i="4" s="1"/>
  <c r="G77" i="4"/>
  <c r="F77" i="4"/>
  <c r="I77" i="4" s="1"/>
  <c r="J77" i="4"/>
  <c r="I83" i="4"/>
  <c r="E93" i="4"/>
  <c r="C25" i="4"/>
  <c r="E25" i="4" s="1"/>
  <c r="C19" i="4"/>
  <c r="E19" i="4" s="1"/>
  <c r="C13" i="4"/>
  <c r="E13" i="4" s="1"/>
  <c r="C63" i="4"/>
  <c r="E63" i="4" s="1"/>
  <c r="J63" i="4" s="1"/>
  <c r="C10" i="4"/>
  <c r="E10" i="4" s="1"/>
  <c r="C16" i="4"/>
  <c r="E16" i="4" s="1"/>
  <c r="C71" i="4"/>
  <c r="E71" i="4" s="1"/>
  <c r="G24" i="4"/>
  <c r="F24" i="4"/>
  <c r="I24" i="4" s="1"/>
  <c r="B12" i="2"/>
  <c r="J22" i="4"/>
  <c r="G22" i="4"/>
  <c r="J68" i="4"/>
  <c r="G68" i="4"/>
  <c r="C65" i="4"/>
  <c r="E65" i="4" s="1"/>
  <c r="C74" i="4"/>
  <c r="E74" i="4" s="1"/>
  <c r="C80" i="4"/>
  <c r="E80" i="4" s="1"/>
  <c r="C86" i="4"/>
  <c r="E86" i="4" s="1"/>
  <c r="C92" i="4"/>
  <c r="E92" i="4" s="1"/>
  <c r="C28" i="4"/>
  <c r="E28" i="4" s="1"/>
  <c r="F29" i="4" s="1"/>
  <c r="I29" i="4" s="1"/>
  <c r="C67" i="4"/>
  <c r="E67" i="4" s="1"/>
  <c r="F68" i="4" s="1"/>
  <c r="I68" i="4" s="1"/>
  <c r="C73" i="4"/>
  <c r="E73" i="4" s="1"/>
  <c r="C79" i="4"/>
  <c r="E79" i="4" s="1"/>
  <c r="C85" i="4"/>
  <c r="E85" i="4" s="1"/>
  <c r="C91" i="4"/>
  <c r="E91" i="4" s="1"/>
  <c r="C97" i="4"/>
  <c r="E97" i="4" s="1"/>
  <c r="C15" i="4"/>
  <c r="E15" i="4" s="1"/>
  <c r="C21" i="4"/>
  <c r="E21" i="4" s="1"/>
  <c r="C27" i="4"/>
  <c r="E27" i="4" s="1"/>
  <c r="C66" i="4"/>
  <c r="E66" i="4" s="1"/>
  <c r="C72" i="4"/>
  <c r="E72" i="4" s="1"/>
  <c r="C78" i="4"/>
  <c r="E78" i="4" s="1"/>
  <c r="C84" i="4"/>
  <c r="E84" i="4" s="1"/>
  <c r="C90" i="4"/>
  <c r="E90" i="4" s="1"/>
  <c r="C96" i="4"/>
  <c r="E96" i="4" s="1"/>
  <c r="C39" i="4"/>
  <c r="E39" i="4" s="1"/>
  <c r="C45" i="4"/>
  <c r="E45" i="4" s="1"/>
  <c r="C51" i="4"/>
  <c r="E51" i="4" s="1"/>
  <c r="C57" i="4"/>
  <c r="E57" i="4" s="1"/>
  <c r="C64" i="4"/>
  <c r="E64" i="4" s="1"/>
  <c r="C70" i="4"/>
  <c r="E70" i="4" s="1"/>
  <c r="C76" i="4"/>
  <c r="E76" i="4" s="1"/>
  <c r="C82" i="4"/>
  <c r="E82" i="4" s="1"/>
  <c r="C88" i="4"/>
  <c r="E88" i="4" s="1"/>
  <c r="C94" i="4"/>
  <c r="E94" i="4" s="1"/>
  <c r="F95" i="4" s="1"/>
  <c r="I95" i="4" s="1"/>
  <c r="C56" i="4"/>
  <c r="E56" i="4" s="1"/>
  <c r="C34" i="4"/>
  <c r="E34" i="4" s="1"/>
  <c r="J34" i="4" s="1"/>
  <c r="C69" i="4"/>
  <c r="E69" i="4" s="1"/>
  <c r="C75" i="4"/>
  <c r="E75" i="4" s="1"/>
  <c r="C81" i="4"/>
  <c r="E81" i="4" s="1"/>
  <c r="C87" i="4"/>
  <c r="E87" i="4" s="1"/>
  <c r="J38" i="4" l="1"/>
  <c r="G38" i="4"/>
  <c r="F38" i="4"/>
  <c r="I38" i="4" s="1"/>
  <c r="J50" i="4"/>
  <c r="G50" i="4"/>
  <c r="F50" i="4"/>
  <c r="I50" i="4" s="1"/>
  <c r="J44" i="4"/>
  <c r="G44" i="4"/>
  <c r="F44" i="4"/>
  <c r="I44" i="4" s="1"/>
  <c r="F57" i="4"/>
  <c r="I57" i="4" s="1"/>
  <c r="J57" i="4"/>
  <c r="G57" i="4"/>
  <c r="G13" i="4"/>
  <c r="F13" i="4"/>
  <c r="I13" i="4" s="1"/>
  <c r="J13" i="4"/>
  <c r="J85" i="4"/>
  <c r="G85" i="4"/>
  <c r="F85" i="4"/>
  <c r="I85" i="4" s="1"/>
  <c r="J53" i="4"/>
  <c r="G53" i="4"/>
  <c r="F53" i="4"/>
  <c r="I53" i="4" s="1"/>
  <c r="F45" i="4"/>
  <c r="I45" i="4" s="1"/>
  <c r="J45" i="4"/>
  <c r="G45" i="4"/>
  <c r="G12" i="4"/>
  <c r="F12" i="4"/>
  <c r="I12" i="4" s="1"/>
  <c r="J12" i="4"/>
  <c r="K97" i="4"/>
  <c r="K91" i="4"/>
  <c r="K85" i="4"/>
  <c r="K79" i="4"/>
  <c r="K73" i="4"/>
  <c r="K67" i="4"/>
  <c r="K28" i="4"/>
  <c r="K22" i="4"/>
  <c r="K16" i="4"/>
  <c r="K10" i="4"/>
  <c r="B15" i="2"/>
  <c r="K54" i="4"/>
  <c r="K48" i="4"/>
  <c r="K42" i="4"/>
  <c r="K36" i="4"/>
  <c r="K92" i="4"/>
  <c r="K86" i="4"/>
  <c r="K80" i="4"/>
  <c r="K74" i="4"/>
  <c r="K68" i="4"/>
  <c r="K29" i="4"/>
  <c r="K23" i="4"/>
  <c r="K17" i="4"/>
  <c r="K11" i="4"/>
  <c r="K81" i="4"/>
  <c r="K12" i="4"/>
  <c r="K55" i="4"/>
  <c r="K49" i="4"/>
  <c r="K43" i="4"/>
  <c r="K37" i="4"/>
  <c r="K93" i="4"/>
  <c r="K87" i="4"/>
  <c r="K75" i="4"/>
  <c r="K69" i="4"/>
  <c r="K24" i="4"/>
  <c r="K94" i="4"/>
  <c r="K88" i="4"/>
  <c r="K82" i="4"/>
  <c r="K76" i="4"/>
  <c r="K70" i="4"/>
  <c r="K64" i="4"/>
  <c r="K25" i="4"/>
  <c r="K19" i="4"/>
  <c r="K13" i="4"/>
  <c r="K57" i="4"/>
  <c r="K51" i="4"/>
  <c r="K45" i="4"/>
  <c r="K95" i="4"/>
  <c r="K89" i="4"/>
  <c r="K83" i="4"/>
  <c r="K77" i="4"/>
  <c r="K71" i="4"/>
  <c r="K65" i="4"/>
  <c r="K26" i="4"/>
  <c r="K20" i="4"/>
  <c r="K14" i="4"/>
  <c r="K58" i="4"/>
  <c r="K52" i="4"/>
  <c r="K46" i="4"/>
  <c r="K40" i="4"/>
  <c r="K96" i="4"/>
  <c r="K90" i="4"/>
  <c r="K84" i="4"/>
  <c r="K78" i="4"/>
  <c r="K72" i="4"/>
  <c r="K66" i="4"/>
  <c r="K27" i="4"/>
  <c r="K21" i="4"/>
  <c r="K15" i="4"/>
  <c r="K47" i="4"/>
  <c r="K35" i="4"/>
  <c r="K50" i="4"/>
  <c r="K53" i="4"/>
  <c r="K18" i="4"/>
  <c r="K56" i="4"/>
  <c r="K44" i="4"/>
  <c r="K39" i="4"/>
  <c r="B22" i="3"/>
  <c r="K38" i="4"/>
  <c r="B16" i="2"/>
  <c r="K41" i="4"/>
  <c r="G96" i="4"/>
  <c r="F96" i="4"/>
  <c r="I96" i="4" s="1"/>
  <c r="J96" i="4"/>
  <c r="J79" i="4"/>
  <c r="G79" i="4"/>
  <c r="F79" i="4"/>
  <c r="I79" i="4" s="1"/>
  <c r="G40" i="4"/>
  <c r="F40" i="4"/>
  <c r="I40" i="4" s="1"/>
  <c r="J40" i="4"/>
  <c r="G89" i="4"/>
  <c r="F89" i="4"/>
  <c r="I89" i="4" s="1"/>
  <c r="J89" i="4"/>
  <c r="F14" i="4"/>
  <c r="I14" i="4" s="1"/>
  <c r="G19" i="4"/>
  <c r="F19" i="4"/>
  <c r="I19" i="4" s="1"/>
  <c r="J19" i="4"/>
  <c r="G18" i="4"/>
  <c r="F18" i="4"/>
  <c r="I18" i="4" s="1"/>
  <c r="J18" i="4"/>
  <c r="G46" i="4"/>
  <c r="F46" i="4"/>
  <c r="I46" i="4" s="1"/>
  <c r="J46" i="4"/>
  <c r="G84" i="4"/>
  <c r="F84" i="4"/>
  <c r="I84" i="4" s="1"/>
  <c r="J84" i="4"/>
  <c r="G58" i="4"/>
  <c r="F58" i="4"/>
  <c r="I58" i="4" s="1"/>
  <c r="J58" i="4"/>
  <c r="J43" i="4"/>
  <c r="G43" i="4"/>
  <c r="F43" i="4"/>
  <c r="I43" i="4" s="1"/>
  <c r="G69" i="4"/>
  <c r="F69" i="4"/>
  <c r="I69" i="4" s="1"/>
  <c r="J69" i="4"/>
  <c r="F51" i="4"/>
  <c r="I51" i="4" s="1"/>
  <c r="J51" i="4"/>
  <c r="G51" i="4"/>
  <c r="J47" i="4"/>
  <c r="G47" i="4"/>
  <c r="F47" i="4"/>
  <c r="I47" i="4" s="1"/>
  <c r="J67" i="4"/>
  <c r="G67" i="4"/>
  <c r="F67" i="4"/>
  <c r="I67" i="4" s="1"/>
  <c r="J88" i="4"/>
  <c r="G88" i="4"/>
  <c r="F88" i="4"/>
  <c r="I88" i="4" s="1"/>
  <c r="J82" i="4"/>
  <c r="G82" i="4"/>
  <c r="F82" i="4"/>
  <c r="I82" i="4" s="1"/>
  <c r="G72" i="4"/>
  <c r="F72" i="4"/>
  <c r="I72" i="4" s="1"/>
  <c r="J72" i="4"/>
  <c r="J92" i="4"/>
  <c r="G92" i="4"/>
  <c r="F92" i="4"/>
  <c r="I92" i="4" s="1"/>
  <c r="G71" i="4"/>
  <c r="F71" i="4"/>
  <c r="I71" i="4" s="1"/>
  <c r="J71" i="4"/>
  <c r="J36" i="4"/>
  <c r="F36" i="4"/>
  <c r="I36" i="4" s="1"/>
  <c r="G36" i="4"/>
  <c r="J49" i="4"/>
  <c r="G49" i="4"/>
  <c r="F49" i="4"/>
  <c r="I49" i="4" s="1"/>
  <c r="G26" i="4"/>
  <c r="F26" i="4"/>
  <c r="I26" i="4" s="1"/>
  <c r="J26" i="4"/>
  <c r="J35" i="4"/>
  <c r="F35" i="4"/>
  <c r="I35" i="4" s="1"/>
  <c r="G35" i="4"/>
  <c r="J97" i="4"/>
  <c r="G97" i="4"/>
  <c r="F97" i="4"/>
  <c r="I97" i="4" s="1"/>
  <c r="J91" i="4"/>
  <c r="G91" i="4"/>
  <c r="F91" i="4"/>
  <c r="I91" i="4" s="1"/>
  <c r="G25" i="4"/>
  <c r="J25" i="4"/>
  <c r="F25" i="4"/>
  <c r="I25" i="4" s="1"/>
  <c r="J37" i="4"/>
  <c r="F37" i="4"/>
  <c r="I37" i="4" s="1"/>
  <c r="G37" i="4"/>
  <c r="G66" i="4"/>
  <c r="F66" i="4"/>
  <c r="I66" i="4" s="1"/>
  <c r="J66" i="4"/>
  <c r="J42" i="4"/>
  <c r="F42" i="4"/>
  <c r="I42" i="4" s="1"/>
  <c r="G42" i="4"/>
  <c r="J55" i="4"/>
  <c r="G55" i="4"/>
  <c r="F55" i="4"/>
  <c r="I55" i="4" s="1"/>
  <c r="G15" i="4"/>
  <c r="F15" i="4"/>
  <c r="I15" i="4" s="1"/>
  <c r="J15" i="4"/>
  <c r="J41" i="4"/>
  <c r="F41" i="4"/>
  <c r="I41" i="4" s="1"/>
  <c r="G41" i="4"/>
  <c r="F39" i="4"/>
  <c r="I39" i="4" s="1"/>
  <c r="J39" i="4"/>
  <c r="G39" i="4"/>
  <c r="G90" i="4"/>
  <c r="F90" i="4"/>
  <c r="I90" i="4" s="1"/>
  <c r="J90" i="4"/>
  <c r="G52" i="4"/>
  <c r="F52" i="4"/>
  <c r="I52" i="4" s="1"/>
  <c r="J52" i="4"/>
  <c r="G78" i="4"/>
  <c r="F78" i="4"/>
  <c r="I78" i="4" s="1"/>
  <c r="J78" i="4"/>
  <c r="J76" i="4"/>
  <c r="G76" i="4"/>
  <c r="F76" i="4"/>
  <c r="I76" i="4" s="1"/>
  <c r="G81" i="4"/>
  <c r="F81" i="4"/>
  <c r="I81" i="4" s="1"/>
  <c r="J81" i="4"/>
  <c r="G27" i="4"/>
  <c r="F27" i="4"/>
  <c r="I27" i="4" s="1"/>
  <c r="J27" i="4"/>
  <c r="J80" i="4"/>
  <c r="G80" i="4"/>
  <c r="F80" i="4"/>
  <c r="I80" i="4" s="1"/>
  <c r="J16" i="4"/>
  <c r="G16" i="4"/>
  <c r="F16" i="4"/>
  <c r="I16" i="4" s="1"/>
  <c r="J48" i="4"/>
  <c r="F48" i="4"/>
  <c r="I48" i="4" s="1"/>
  <c r="G48" i="4"/>
  <c r="F20" i="4"/>
  <c r="I20" i="4" s="1"/>
  <c r="J56" i="4"/>
  <c r="G56" i="4"/>
  <c r="F56" i="4"/>
  <c r="I56" i="4" s="1"/>
  <c r="G65" i="4"/>
  <c r="F65" i="4"/>
  <c r="I65" i="4" s="1"/>
  <c r="J65" i="4"/>
  <c r="J73" i="4"/>
  <c r="G73" i="4"/>
  <c r="F73" i="4"/>
  <c r="I73" i="4" s="1"/>
  <c r="J94" i="4"/>
  <c r="G94" i="4"/>
  <c r="F94" i="4"/>
  <c r="I94" i="4" s="1"/>
  <c r="J28" i="4"/>
  <c r="G28" i="4"/>
  <c r="F28" i="4"/>
  <c r="I28" i="4" s="1"/>
  <c r="G87" i="4"/>
  <c r="F87" i="4"/>
  <c r="I87" i="4" s="1"/>
  <c r="J87" i="4"/>
  <c r="J86" i="4"/>
  <c r="G86" i="4"/>
  <c r="F86" i="4"/>
  <c r="I86" i="4" s="1"/>
  <c r="J70" i="4"/>
  <c r="G70" i="4"/>
  <c r="F70" i="4"/>
  <c r="I70" i="4" s="1"/>
  <c r="G75" i="4"/>
  <c r="F75" i="4"/>
  <c r="I75" i="4" s="1"/>
  <c r="J75" i="4"/>
  <c r="J64" i="4"/>
  <c r="G64" i="4"/>
  <c r="F64" i="4"/>
  <c r="I64" i="4" s="1"/>
  <c r="G21" i="4"/>
  <c r="F21" i="4"/>
  <c r="I21" i="4" s="1"/>
  <c r="J21" i="4"/>
  <c r="F22" i="4"/>
  <c r="I22" i="4" s="1"/>
  <c r="J74" i="4"/>
  <c r="G74" i="4"/>
  <c r="F74" i="4"/>
  <c r="I74" i="4" s="1"/>
  <c r="J10" i="4"/>
  <c r="G10" i="4"/>
  <c r="F10" i="4"/>
  <c r="I10" i="4" s="1"/>
  <c r="G93" i="4"/>
  <c r="F93" i="4"/>
  <c r="I93" i="4" s="1"/>
  <c r="J93" i="4"/>
  <c r="J54" i="4"/>
  <c r="F54" i="4"/>
  <c r="I54" i="4" s="1"/>
  <c r="G54" i="4"/>
  <c r="B18" i="2" l="1"/>
  <c r="B23" i="2" s="1"/>
  <c r="B24" i="3" l="1"/>
  <c r="B24" i="2"/>
  <c r="B25" i="3" s="1"/>
</calcChain>
</file>

<file path=xl/sharedStrings.xml><?xml version="1.0" encoding="utf-8"?>
<sst xmlns="http://schemas.openxmlformats.org/spreadsheetml/2006/main" count="126" uniqueCount="91">
  <si>
    <t>Perfect Competition — Output</t>
  </si>
  <si>
    <t>Solver setup</t>
  </si>
  <si>
    <t>Set Objective</t>
  </si>
  <si>
    <t>Calc!$B$24  (Profit)</t>
  </si>
  <si>
    <t>To</t>
  </si>
  <si>
    <t>Max</t>
  </si>
  <si>
    <t>By Changing Variable Cells</t>
  </si>
  <si>
    <t>Calc!$B$4:$B$6  (BedsTomatoes, BedsCarrots, BedsMesclun)</t>
  </si>
  <si>
    <t>Constraint 1</t>
  </si>
  <si>
    <t>Calc!$B$4 &lt;= 20  (MaxBedsTomatoes)</t>
  </si>
  <si>
    <t>Constraint 2</t>
  </si>
  <si>
    <t>Calc!$B$5 &lt;= 20  (MaxBedsCarrots)</t>
  </si>
  <si>
    <t>Constraint 3</t>
  </si>
  <si>
    <t>Calc!$B$6 &lt;= 30  (MaxBedsMesclun)</t>
  </si>
  <si>
    <t>Constraint 4</t>
  </si>
  <si>
    <t>Calc!$B$27 &lt;= 64  (TotalBedsPlanted &lt;= TotalBedCap)</t>
  </si>
  <si>
    <t>Constraint 5</t>
  </si>
  <si>
    <t>Calc!$B$12 &lt;= Calc!$B$28  (TotalLaborHours &lt;= TotalLaborCapacity)</t>
  </si>
  <si>
    <t>Constraint 6</t>
  </si>
  <si>
    <t>Calc!$B$4:$B$6 = integer</t>
  </si>
  <si>
    <t>Constraint 7</t>
  </si>
  <si>
    <t>Calc!$B$4:$B$6 &gt;= 0</t>
  </si>
  <si>
    <t>Solving Method</t>
  </si>
  <si>
    <t>Try GRG Nonlinear first; switch to Evolutionary if it stalls or returns a different answer from different starting beds (the exponential diminishing-returns term and the MIN/MAX wage tiers make this non-smooth, so GRG can settle on a local optimum).</t>
  </si>
  <si>
    <t>Options</t>
  </si>
  <si>
    <t>Check "Make Unconstrained Variables Non-Negative"</t>
  </si>
  <si>
    <t>Current values (Calc sheet — update after running Solver)</t>
  </si>
  <si>
    <t>Beds — Tomatoes</t>
  </si>
  <si>
    <t>Beds — Carrots</t>
  </si>
  <si>
    <t>Beds — Mesclun</t>
  </si>
  <si>
    <t>Total beds planted</t>
  </si>
  <si>
    <t>Total labor hours</t>
  </si>
  <si>
    <t>Revenue</t>
  </si>
  <si>
    <t>Total cost</t>
  </si>
  <si>
    <t>Profit</t>
  </si>
  <si>
    <t>Perfect Competition — Inputs</t>
  </si>
  <si>
    <t>Crop assumptions</t>
  </si>
  <si>
    <t>Crop</t>
  </si>
  <si>
    <t>Max beds</t>
  </si>
  <si>
    <t>Revenue/bed</t>
  </si>
  <si>
    <t>Labor hrs/wk/bed</t>
  </si>
  <si>
    <t>Fertilizer cost/bed</t>
  </si>
  <si>
    <t>Diminishing returns/bed</t>
  </si>
  <si>
    <t>Tomatoes</t>
  </si>
  <si>
    <t>Carrots</t>
  </si>
  <si>
    <t>Mesclun</t>
  </si>
  <si>
    <t>Farm-wide assumptions</t>
  </si>
  <si>
    <t>Total beds available</t>
  </si>
  <si>
    <t>Fixed costs for the season</t>
  </si>
  <si>
    <t>Length of growing season (weeks)</t>
  </si>
  <si>
    <t>Your own labor hours available</t>
  </si>
  <si>
    <t>Your labor rate ($/hr)</t>
  </si>
  <si>
    <t>Max number of temp workers</t>
  </si>
  <si>
    <t>Max hours per temp worker</t>
  </si>
  <si>
    <t>Temp labor rate ($/hr)</t>
  </si>
  <si>
    <t>Labor(q) for q beds of one crop = q * (hrs/wk/bed) * SeasonWeeks * (1 + diminishing returns/bed)^q</t>
  </si>
  <si>
    <t>Own labor hours are exhausted before any temp labor hours are used.</t>
  </si>
  <si>
    <t>Beds must be planted whole and with a single crop; no partial or split beds.</t>
  </si>
  <si>
    <t>Perfect Competition — Calc</t>
  </si>
  <si>
    <t>Decision variables (Solver: By Changing Variable Cells)</t>
  </si>
  <si>
    <t>Solver's solution (maximizes Profit) — rerun Solver if any input changes</t>
  </si>
  <si>
    <t>Labor hours by crop</t>
  </si>
  <si>
    <t>Labor hours — Tomatoes</t>
  </si>
  <si>
    <t>Labor hours — Carrots</t>
  </si>
  <si>
    <t>Labor hours — Mesclun</t>
  </si>
  <si>
    <t>Labor cost (own hours first, then temp)</t>
  </si>
  <si>
    <t>Own labor hours used</t>
  </si>
  <si>
    <t>Temp labor hours used</t>
  </si>
  <si>
    <t>Temp labor capacity</t>
  </si>
  <si>
    <t>Labor cost</t>
  </si>
  <si>
    <t>Revenue and other costs</t>
  </si>
  <si>
    <t>Fertilizer cost</t>
  </si>
  <si>
    <t>Constraint checks (Solver: Subject to the Constraints)</t>
  </si>
  <si>
    <t>&lt;= TotalBedCap (64)</t>
  </si>
  <si>
    <t>Total labor hours vs. capacity</t>
  </si>
  <si>
    <t>TotalLaborHours &lt;= this (6,480 hrs)</t>
  </si>
  <si>
    <t>Perfect Competition — MC Schedule</t>
  </si>
  <si>
    <t>Marginal cost, average variable cost and price for each bed of each crop, with that crop planted alone (standalone curve).</t>
  </si>
  <si>
    <t>Standalone means the crop gets all of the farmer's OwnLaborHours first, then temp labor; this is where the MC dip comes from.</t>
  </si>
  <si>
    <t>MC in solved mix = the same bed added to the mix on Calc: the other two crops stay at their Calc bed counts, so the wage on each marginal hour depends on total farm labor, not this crop alone.</t>
  </si>
  <si>
    <t>Variable cost = labor cost + fertilizer. MC = change in variable cost from the previous bed. FixedCosts enter only Standalone profit.</t>
  </si>
  <si>
    <t>Rows in grey italics are past the crop's MaxBeds: what one more bed would earn if the cap were relaxed (the value of relaxing it). Charts stop at the cap.</t>
  </si>
  <si>
    <t>Beds (q)</t>
  </si>
  <si>
    <t>Labor hours</t>
  </si>
  <si>
    <t>Variable cost</t>
  </si>
  <si>
    <t>MC standalone</t>
  </si>
  <si>
    <t>AVC</t>
  </si>
  <si>
    <t>Price</t>
  </si>
  <si>
    <t>Price − MC</t>
  </si>
  <si>
    <t>Standalone profit</t>
  </si>
  <si>
    <t>MC in solved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</si>
</sst>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$#,##0"/>
    <numFmt numFmtId="165" formatCode="\$#,##0.00"/>
    <numFmt numFmtId="166" formatCode="_(* #,##0.0000_);_(* \(#,##0.00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rgb="FF80808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/>
  </cellStyleXfs>
  <cellXfs count="15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4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0" fontId="0" fillId="0" borderId="0" xfId="0" applyAlignment="1">
      <alignment wrapText="1"/>
    </xf>
    <xf numFmtId="165" fontId="1" fillId="0" borderId="0" xfId="0" applyNumberFormat="1" applyFont="1"/>
    <xf numFmtId="166" fontId="0" fillId="0" borderId="0" xfId="1" applyNumberFormat="1" applyFont="1"/>
    <xf numFmtId="0" fontId="3" fillId="0" borderId="0" xfId="0" applyFont="1"/>
    <xf numFmtId="3" fontId="4" fillId="0" borderId="0" xfId="0" applyNumberFormat="1" applyFont="1"/>
    <xf numFmtId="4" fontId="4" fillId="0" borderId="0" xfId="0" applyNumberFormat="1" applyFont="1"/>
    <xf numFmtId="164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Tomatoes: MC vs price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'MC Schedule'!$F$8</c:f>
              <c:strCache>
                <c:ptCount val="1"/>
                <c:pt idx="0">
                  <c:v>MC standalone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'MC Schedule'!$A$10:$A$29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'MC Schedule'!$F$10:$F$29</c:f>
              <c:numCache>
                <c:formatCode>\$#,##0</c:formatCode>
                <c:ptCount val="20"/>
                <c:pt idx="0">
                  <c:v>4317.5</c:v>
                </c:pt>
                <c:pt idx="1">
                  <c:v>5005</c:v>
                </c:pt>
                <c:pt idx="2">
                  <c:v>5795.6250000000036</c:v>
                </c:pt>
                <c:pt idx="3">
                  <c:v>6703.125</c:v>
                </c:pt>
                <c:pt idx="4">
                  <c:v>7660.859375</c:v>
                </c:pt>
                <c:pt idx="5">
                  <c:v>4906.2750000000051</c:v>
                </c:pt>
                <c:pt idx="6">
                  <c:v>5585.7089062500017</c:v>
                </c:pt>
                <c:pt idx="7">
                  <c:v>6360.7668437500033</c:v>
                </c:pt>
                <c:pt idx="8">
                  <c:v>7243.7792796875074</c:v>
                </c:pt>
                <c:pt idx="9">
                  <c:v>8248.586534375012</c:v>
                </c:pt>
                <c:pt idx="10">
                  <c:v>9390.7174472031256</c:v>
                </c:pt>
                <c:pt idx="11">
                  <c:v>10687.588677253138</c:v>
                </c:pt>
                <c:pt idx="12">
                  <c:v>12158.726978841107</c:v>
                </c:pt>
                <c:pt idx="13">
                  <c:v>13826.017053974152</c:v>
                </c:pt>
                <c:pt idx="14">
                  <c:v>15713.977874345364</c:v>
                </c:pt>
                <c:pt idx="15">
                  <c:v>17850.070688251115</c:v>
                </c:pt>
                <c:pt idx="16">
                  <c:v>20265.042286194512</c:v>
                </c:pt>
                <c:pt idx="17">
                  <c:v>22993.307496844121</c:v>
                </c:pt>
                <c:pt idx="18">
                  <c:v>26073.375326761772</c:v>
                </c:pt>
                <c:pt idx="19">
                  <c:v>29548.323647694342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AF-4169-A3CA-268A53EE3A8C}"/>
            </c:ext>
          </c:extLst>
        </c:ser>
        <c:ser>
          <c:idx val="1"/>
          <c:order val="1"/>
          <c:tx>
            <c:strRef>
              <c:f>'MC Schedule'!$G$8</c:f>
              <c:strCache>
                <c:ptCount val="1"/>
                <c:pt idx="0">
                  <c:v>AVC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'MC Schedule'!$A$10:$A$29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'MC Schedule'!$G$10:$G$29</c:f>
              <c:numCache>
                <c:formatCode>\$#,##0</c:formatCode>
                <c:ptCount val="20"/>
                <c:pt idx="0">
                  <c:v>4317.5</c:v>
                </c:pt>
                <c:pt idx="1">
                  <c:v>4661.25</c:v>
                </c:pt>
                <c:pt idx="2">
                  <c:v>5039.3750000000009</c:v>
                </c:pt>
                <c:pt idx="3">
                  <c:v>5455.3125000000009</c:v>
                </c:pt>
                <c:pt idx="4">
                  <c:v>5896.4218750000009</c:v>
                </c:pt>
                <c:pt idx="5">
                  <c:v>5731.3973958333345</c:v>
                </c:pt>
                <c:pt idx="6">
                  <c:v>5710.5847544642875</c:v>
                </c:pt>
                <c:pt idx="7">
                  <c:v>5791.8575156250017</c:v>
                </c:pt>
                <c:pt idx="8">
                  <c:v>5953.182156076391</c:v>
                </c:pt>
                <c:pt idx="9">
                  <c:v>6182.7225939062537</c:v>
                </c:pt>
                <c:pt idx="10">
                  <c:v>6474.3584896605144</c:v>
                </c:pt>
                <c:pt idx="11">
                  <c:v>6825.461005293233</c:v>
                </c:pt>
                <c:pt idx="12">
                  <c:v>7235.7122340276846</c:v>
                </c:pt>
                <c:pt idx="13">
                  <c:v>7706.4482925952898</c:v>
                </c:pt>
                <c:pt idx="14">
                  <c:v>8240.2835980452946</c:v>
                </c:pt>
                <c:pt idx="15">
                  <c:v>8840.8952911831584</c:v>
                </c:pt>
                <c:pt idx="16">
                  <c:v>9512.903937948533</c:v>
                </c:pt>
                <c:pt idx="17">
                  <c:v>10261.815246776065</c:v>
                </c:pt>
                <c:pt idx="18">
                  <c:v>11094.002619406892</c:v>
                </c:pt>
                <c:pt idx="19">
                  <c:v>12016.718670821265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AF-4169-A3CA-268A53EE3A8C}"/>
            </c:ext>
          </c:extLst>
        </c:ser>
        <c:ser>
          <c:idx val="2"/>
          <c:order val="2"/>
          <c:tx>
            <c:strRef>
              <c:f>'MC Schedule'!$H$8</c:f>
              <c:strCache>
                <c:ptCount val="1"/>
                <c:pt idx="0">
                  <c:v>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'MC Schedule'!$A$10:$A$29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'MC Schedule'!$H$10:$H$29</c:f>
              <c:numCache>
                <c:formatCode>\$#,##0</c:formatCode>
                <c:ptCount val="20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AF-4169-A3CA-268A53EE3A8C}"/>
            </c:ext>
          </c:extLst>
        </c:ser>
        <c:ser>
          <c:idx val="3"/>
          <c:order val="3"/>
          <c:tx>
            <c:strRef>
              <c:f>'MC Schedule'!$K$8</c:f>
              <c:strCache>
                <c:ptCount val="1"/>
                <c:pt idx="0">
                  <c:v>MC in solved mix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'MC Schedule'!$A$10:$A$29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'MC Schedule'!$K$10:$K$29</c:f>
              <c:numCache>
                <c:formatCode>\$#,##0</c:formatCode>
                <c:ptCount val="20"/>
                <c:pt idx="0">
                  <c:v>2598.75</c:v>
                </c:pt>
                <c:pt idx="1">
                  <c:v>2942.4999999999927</c:v>
                </c:pt>
                <c:pt idx="2">
                  <c:v>3337.8125</c:v>
                </c:pt>
                <c:pt idx="3">
                  <c:v>3791.5625</c:v>
                </c:pt>
                <c:pt idx="4">
                  <c:v>4311.4843750000146</c:v>
                </c:pt>
                <c:pt idx="5">
                  <c:v>4906.2750000000087</c:v>
                </c:pt>
                <c:pt idx="6">
                  <c:v>5585.7089062499872</c:v>
                </c:pt>
                <c:pt idx="7">
                  <c:v>6360.766843749996</c:v>
                </c:pt>
                <c:pt idx="8">
                  <c:v>7243.7792796875146</c:v>
                </c:pt>
                <c:pt idx="9">
                  <c:v>8248.5865343750193</c:v>
                </c:pt>
                <c:pt idx="10">
                  <c:v>9390.7174472031329</c:v>
                </c:pt>
                <c:pt idx="11">
                  <c:v>10687.588677253138</c:v>
                </c:pt>
                <c:pt idx="12">
                  <c:v>12158.726978841078</c:v>
                </c:pt>
                <c:pt idx="13">
                  <c:v>13826.017053974152</c:v>
                </c:pt>
                <c:pt idx="14">
                  <c:v>15713.977874345408</c:v>
                </c:pt>
                <c:pt idx="15">
                  <c:v>17850.070688251057</c:v>
                </c:pt>
                <c:pt idx="16">
                  <c:v>20265.042286194541</c:v>
                </c:pt>
                <c:pt idx="17">
                  <c:v>22993.307496844121</c:v>
                </c:pt>
                <c:pt idx="18">
                  <c:v>26073.375326761772</c:v>
                </c:pt>
                <c:pt idx="19">
                  <c:v>29548.323647694371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AF-4169-A3CA-268A53EE3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Beds (q)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 per bed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Carrots: MC vs price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'MC Schedule'!$F$33</c:f>
              <c:strCache>
                <c:ptCount val="1"/>
                <c:pt idx="0">
                  <c:v>MC standalone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'MC Schedule'!$A$35:$A$54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'MC Schedule'!$F$35:$F$54</c:f>
              <c:numCache>
                <c:formatCode>\$#,##0</c:formatCode>
                <c:ptCount val="20"/>
                <c:pt idx="0">
                  <c:v>1507.7083333333333</c:v>
                </c:pt>
                <c:pt idx="1">
                  <c:v>1561.0937499999998</c:v>
                </c:pt>
                <c:pt idx="2">
                  <c:v>1616.481119791667</c:v>
                </c:pt>
                <c:pt idx="3">
                  <c:v>1673.9371744791652</c:v>
                </c:pt>
                <c:pt idx="4">
                  <c:v>1733.530731201171</c:v>
                </c:pt>
                <c:pt idx="5">
                  <c:v>1795.332755025227</c:v>
                </c:pt>
                <c:pt idx="6">
                  <c:v>1859.4164233334868</c:v>
                </c:pt>
                <c:pt idx="7">
                  <c:v>1925.8571920852646</c:v>
                </c:pt>
                <c:pt idx="8">
                  <c:v>1994.7328640100477</c:v>
                </c:pt>
                <c:pt idx="9">
                  <c:v>2066.1236587860258</c:v>
                </c:pt>
                <c:pt idx="10">
                  <c:v>2140.1122852607878</c:v>
                </c:pt>
                <c:pt idx="11">
                  <c:v>2216.7840157725441</c:v>
                </c:pt>
                <c:pt idx="12">
                  <c:v>2296.2267626316061</c:v>
                </c:pt>
                <c:pt idx="13">
                  <c:v>2378.5311568237667</c:v>
                </c:pt>
                <c:pt idx="14">
                  <c:v>2463.7906289988823</c:v>
                </c:pt>
                <c:pt idx="15">
                  <c:v>2552.1014928097429</c:v>
                </c:pt>
                <c:pt idx="16">
                  <c:v>1670.9013431626554</c:v>
                </c:pt>
                <c:pt idx="17">
                  <c:v>1589.1387909931072</c:v>
                </c:pt>
                <c:pt idx="18">
                  <c:v>1638.1753169880685</c:v>
                </c:pt>
                <c:pt idx="19">
                  <c:v>1688.9454575384007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4-431E-B276-A66A7FB28572}"/>
            </c:ext>
          </c:extLst>
        </c:ser>
        <c:ser>
          <c:idx val="1"/>
          <c:order val="1"/>
          <c:tx>
            <c:strRef>
              <c:f>'MC Schedule'!$G$33</c:f>
              <c:strCache>
                <c:ptCount val="1"/>
                <c:pt idx="0">
                  <c:v>AVC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'MC Schedule'!$A$35:$A$54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'MC Schedule'!$G$35:$G$54</c:f>
              <c:numCache>
                <c:formatCode>\$#,##0</c:formatCode>
                <c:ptCount val="20"/>
                <c:pt idx="0">
                  <c:v>1507.7083333333333</c:v>
                </c:pt>
                <c:pt idx="1">
                  <c:v>1534.4010416666665</c:v>
                </c:pt>
                <c:pt idx="2">
                  <c:v>1561.7610677083333</c:v>
                </c:pt>
                <c:pt idx="3">
                  <c:v>1589.8050944010413</c:v>
                </c:pt>
                <c:pt idx="4">
                  <c:v>1618.5502217610672</c:v>
                </c:pt>
                <c:pt idx="5">
                  <c:v>1648.0139773050939</c:v>
                </c:pt>
                <c:pt idx="6">
                  <c:v>1678.2143267377214</c:v>
                </c:pt>
                <c:pt idx="7">
                  <c:v>1709.1696849061643</c:v>
                </c:pt>
                <c:pt idx="8">
                  <c:v>1740.898927028818</c:v>
                </c:pt>
                <c:pt idx="9">
                  <c:v>1773.4214002045387</c:v>
                </c:pt>
                <c:pt idx="10">
                  <c:v>1806.7569352096523</c:v>
                </c:pt>
                <c:pt idx="11">
                  <c:v>1840.9258585898933</c:v>
                </c:pt>
                <c:pt idx="12">
                  <c:v>1875.9490050546406</c:v>
                </c:pt>
                <c:pt idx="13">
                  <c:v>1911.8477301810067</c:v>
                </c:pt>
                <c:pt idx="14">
                  <c:v>1948.6439234355316</c:v>
                </c:pt>
                <c:pt idx="15">
                  <c:v>1986.3600215214199</c:v>
                </c:pt>
                <c:pt idx="16">
                  <c:v>1967.8036286767867</c:v>
                </c:pt>
                <c:pt idx="17">
                  <c:v>1946.7666932499155</c:v>
                </c:pt>
                <c:pt idx="18">
                  <c:v>1930.5250418677131</c:v>
                </c:pt>
                <c:pt idx="19">
                  <c:v>1918.4460626512475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74-431E-B276-A66A7FB28572}"/>
            </c:ext>
          </c:extLst>
        </c:ser>
        <c:ser>
          <c:idx val="2"/>
          <c:order val="2"/>
          <c:tx>
            <c:strRef>
              <c:f>'MC Schedule'!$H$33</c:f>
              <c:strCache>
                <c:ptCount val="1"/>
                <c:pt idx="0">
                  <c:v>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'MC Schedule'!$A$35:$A$54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'MC Schedule'!$H$35:$H$54</c:f>
              <c:numCache>
                <c:formatCode>\$#,##0</c:formatCode>
                <c:ptCount val="20"/>
                <c:pt idx="0">
                  <c:v>2094</c:v>
                </c:pt>
                <c:pt idx="1">
                  <c:v>2094</c:v>
                </c:pt>
                <c:pt idx="2">
                  <c:v>2094</c:v>
                </c:pt>
                <c:pt idx="3">
                  <c:v>2094</c:v>
                </c:pt>
                <c:pt idx="4">
                  <c:v>2094</c:v>
                </c:pt>
                <c:pt idx="5">
                  <c:v>2094</c:v>
                </c:pt>
                <c:pt idx="6">
                  <c:v>2094</c:v>
                </c:pt>
                <c:pt idx="7">
                  <c:v>2094</c:v>
                </c:pt>
                <c:pt idx="8">
                  <c:v>2094</c:v>
                </c:pt>
                <c:pt idx="9">
                  <c:v>2094</c:v>
                </c:pt>
                <c:pt idx="10">
                  <c:v>2094</c:v>
                </c:pt>
                <c:pt idx="11">
                  <c:v>2094</c:v>
                </c:pt>
                <c:pt idx="12">
                  <c:v>2094</c:v>
                </c:pt>
                <c:pt idx="13">
                  <c:v>2094</c:v>
                </c:pt>
                <c:pt idx="14">
                  <c:v>2094</c:v>
                </c:pt>
                <c:pt idx="15">
                  <c:v>2094</c:v>
                </c:pt>
                <c:pt idx="16">
                  <c:v>2094</c:v>
                </c:pt>
                <c:pt idx="17">
                  <c:v>2094</c:v>
                </c:pt>
                <c:pt idx="18">
                  <c:v>2094</c:v>
                </c:pt>
                <c:pt idx="19">
                  <c:v>2094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74-431E-B276-A66A7FB28572}"/>
            </c:ext>
          </c:extLst>
        </c:ser>
        <c:ser>
          <c:idx val="3"/>
          <c:order val="3"/>
          <c:tx>
            <c:strRef>
              <c:f>'MC Schedule'!$K$33</c:f>
              <c:strCache>
                <c:ptCount val="1"/>
                <c:pt idx="0">
                  <c:v>MC in solved mix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'MC Schedule'!$A$35:$A$54</c:f>
              <c:numCache>
                <c:formatCode>#,##0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'MC Schedule'!$K$35:$K$54</c:f>
              <c:numCache>
                <c:formatCode>\$#,##0</c:formatCode>
                <c:ptCount val="20"/>
                <c:pt idx="0">
                  <c:v>973.85416666667152</c:v>
                </c:pt>
                <c:pt idx="1">
                  <c:v>1000.546875</c:v>
                </c:pt>
                <c:pt idx="2">
                  <c:v>1028.2405598958285</c:v>
                </c:pt>
                <c:pt idx="3">
                  <c:v>1056.968587239593</c:v>
                </c:pt>
                <c:pt idx="4">
                  <c:v>1086.7653656005859</c:v>
                </c:pt>
                <c:pt idx="5">
                  <c:v>1117.6663775125926</c:v>
                </c:pt>
                <c:pt idx="6">
                  <c:v>1149.7082116667443</c:v>
                </c:pt>
                <c:pt idx="7">
                  <c:v>1182.9285960426496</c:v>
                </c:pt>
                <c:pt idx="8">
                  <c:v>1217.3664320050157</c:v>
                </c:pt>
                <c:pt idx="9">
                  <c:v>1253.0618293930165</c:v>
                </c:pt>
                <c:pt idx="10">
                  <c:v>1290.0561426303902</c:v>
                </c:pt>
                <c:pt idx="11">
                  <c:v>1328.392007886272</c:v>
                </c:pt>
                <c:pt idx="12">
                  <c:v>1368.1133813158085</c:v>
                </c:pt>
                <c:pt idx="13">
                  <c:v>1409.2655784118833</c:v>
                </c:pt>
                <c:pt idx="14">
                  <c:v>1451.8953144994302</c:v>
                </c:pt>
                <c:pt idx="15">
                  <c:v>1496.0507464048715</c:v>
                </c:pt>
                <c:pt idx="16">
                  <c:v>1541.7815153340198</c:v>
                </c:pt>
                <c:pt idx="17">
                  <c:v>1589.1387909931072</c:v>
                </c:pt>
                <c:pt idx="18">
                  <c:v>1638.175316988054</c:v>
                </c:pt>
                <c:pt idx="19">
                  <c:v>1688.9454575384152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74-431E-B276-A66A7FB28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Beds (q)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 per bed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Mesclun: MC vs price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'MC Schedule'!$F$62</c:f>
              <c:strCache>
                <c:ptCount val="1"/>
                <c:pt idx="0">
                  <c:v>MC standalone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'MC Schedule'!$A$64:$A$93</c:f>
              <c:numCache>
                <c:formatCode>#,##0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'MC Schedule'!$F$64:$F$93</c:f>
              <c:numCache>
                <c:formatCode>\$#,##0</c:formatCode>
                <c:ptCount val="30"/>
                <c:pt idx="0">
                  <c:v>2462.03125</c:v>
                </c:pt>
                <c:pt idx="1">
                  <c:v>2501.58203125</c:v>
                </c:pt>
                <c:pt idx="2">
                  <c:v>2541.8743896484366</c:v>
                </c:pt>
                <c:pt idx="3">
                  <c:v>2582.920684814454</c:v>
                </c:pt>
                <c:pt idx="4">
                  <c:v>2624.7334694862348</c:v>
                </c:pt>
                <c:pt idx="5">
                  <c:v>2667.3254924178127</c:v>
                </c:pt>
                <c:pt idx="6">
                  <c:v>2710.7097013180683</c:v>
                </c:pt>
                <c:pt idx="7">
                  <c:v>2754.8992458326466</c:v>
                </c:pt>
                <c:pt idx="8">
                  <c:v>2799.9074805692508</c:v>
                </c:pt>
                <c:pt idx="9">
                  <c:v>2845.7479681671139</c:v>
                </c:pt>
                <c:pt idx="10">
                  <c:v>2892.4344824110776</c:v>
                </c:pt>
                <c:pt idx="11">
                  <c:v>2939.9810113911262</c:v>
                </c:pt>
                <c:pt idx="12">
                  <c:v>2988.4017607077876</c:v>
                </c:pt>
                <c:pt idx="13">
                  <c:v>2522.5810943551696</c:v>
                </c:pt>
                <c:pt idx="14">
                  <c:v>1983.9619249331008</c:v>
                </c:pt>
                <c:pt idx="15">
                  <c:v>2009.5273589841818</c:v>
                </c:pt>
                <c:pt idx="16">
                  <c:v>2035.5594348357699</c:v>
                </c:pt>
                <c:pt idx="17">
                  <c:v>2062.0658239338081</c:v>
                </c:pt>
                <c:pt idx="18">
                  <c:v>2089.0543165975978</c:v>
                </c:pt>
                <c:pt idx="19">
                  <c:v>2116.532823793008</c:v>
                </c:pt>
                <c:pt idx="20">
                  <c:v>2144.5093789313105</c:v>
                </c:pt>
                <c:pt idx="21">
                  <c:v>2172.9921396943828</c:v>
                </c:pt>
                <c:pt idx="22">
                  <c:v>2201.9893898860464</c:v>
                </c:pt>
                <c:pt idx="23">
                  <c:v>2231.5095413106901</c:v>
                </c:pt>
                <c:pt idx="24">
                  <c:v>2261.5611356787776</c:v>
                </c:pt>
                <c:pt idx="25">
                  <c:v>2292.1528465402444</c:v>
                </c:pt>
                <c:pt idx="26">
                  <c:v>2323.2934812457679</c:v>
                </c:pt>
                <c:pt idx="27">
                  <c:v>2354.9919829366991</c:v>
                </c:pt>
                <c:pt idx="28">
                  <c:v>2387.2574325634341</c:v>
                </c:pt>
                <c:pt idx="29">
                  <c:v>2420.0990509335097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60-44D7-B6A9-4CDD7CA3C992}"/>
            </c:ext>
          </c:extLst>
        </c:ser>
        <c:ser>
          <c:idx val="1"/>
          <c:order val="1"/>
          <c:tx>
            <c:strRef>
              <c:f>'MC Schedule'!$G$62</c:f>
              <c:strCache>
                <c:ptCount val="1"/>
                <c:pt idx="0">
                  <c:v>AVC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'MC Schedule'!$A$64:$A$93</c:f>
              <c:numCache>
                <c:formatCode>#,##0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'MC Schedule'!$G$64:$G$93</c:f>
              <c:numCache>
                <c:formatCode>\$#,##0</c:formatCode>
                <c:ptCount val="30"/>
                <c:pt idx="0">
                  <c:v>2462.03125</c:v>
                </c:pt>
                <c:pt idx="1">
                  <c:v>2481.806640625</c:v>
                </c:pt>
                <c:pt idx="2">
                  <c:v>2501.829223632812</c:v>
                </c:pt>
                <c:pt idx="3">
                  <c:v>2522.1020889282227</c:v>
                </c:pt>
                <c:pt idx="4">
                  <c:v>2542.628365039825</c:v>
                </c:pt>
                <c:pt idx="5">
                  <c:v>2563.4112196028232</c:v>
                </c:pt>
                <c:pt idx="6">
                  <c:v>2584.453859847858</c:v>
                </c:pt>
                <c:pt idx="7">
                  <c:v>2605.7595330959566</c:v>
                </c:pt>
                <c:pt idx="8">
                  <c:v>2627.331527259656</c:v>
                </c:pt>
                <c:pt idx="9">
                  <c:v>2649.1731713504018</c:v>
                </c:pt>
                <c:pt idx="10">
                  <c:v>2671.2878359922815</c:v>
                </c:pt>
                <c:pt idx="11">
                  <c:v>2693.6789339421853</c:v>
                </c:pt>
                <c:pt idx="12">
                  <c:v>2716.3499206164624</c:v>
                </c:pt>
                <c:pt idx="13">
                  <c:v>2702.5092901692269</c:v>
                </c:pt>
                <c:pt idx="14">
                  <c:v>2654.6061324868188</c:v>
                </c:pt>
                <c:pt idx="15">
                  <c:v>2614.2887091429038</c:v>
                </c:pt>
                <c:pt idx="16">
                  <c:v>2580.245810654249</c:v>
                </c:pt>
                <c:pt idx="17">
                  <c:v>2551.4580336142244</c:v>
                </c:pt>
                <c:pt idx="18">
                  <c:v>2527.1209958765071</c:v>
                </c:pt>
                <c:pt idx="19">
                  <c:v>2506.5915872723322</c:v>
                </c:pt>
                <c:pt idx="20">
                  <c:v>2489.3495773513314</c:v>
                </c:pt>
                <c:pt idx="21">
                  <c:v>2474.9696938214697</c:v>
                </c:pt>
                <c:pt idx="22">
                  <c:v>2463.1009849547122</c:v>
                </c:pt>
                <c:pt idx="23">
                  <c:v>2453.4513414695448</c:v>
                </c:pt>
                <c:pt idx="24">
                  <c:v>2445.7757332379142</c:v>
                </c:pt>
                <c:pt idx="25">
                  <c:v>2439.8671606726193</c:v>
                </c:pt>
                <c:pt idx="26">
                  <c:v>2435.549616990143</c:v>
                </c:pt>
                <c:pt idx="27">
                  <c:v>2432.6725586310918</c:v>
                </c:pt>
                <c:pt idx="28">
                  <c:v>2431.1065198011725</c:v>
                </c:pt>
                <c:pt idx="29">
                  <c:v>2430.7396041722504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60-44D7-B6A9-4CDD7CA3C992}"/>
            </c:ext>
          </c:extLst>
        </c:ser>
        <c:ser>
          <c:idx val="2"/>
          <c:order val="2"/>
          <c:tx>
            <c:strRef>
              <c:f>'MC Schedule'!$H$62</c:f>
              <c:strCache>
                <c:ptCount val="1"/>
                <c:pt idx="0">
                  <c:v>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'MC Schedule'!$A$64:$A$93</c:f>
              <c:numCache>
                <c:formatCode>#,##0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'MC Schedule'!$H$64:$H$93</c:f>
              <c:numCache>
                <c:formatCode>\$#,##0</c:formatCode>
                <c:ptCount val="30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  <c:pt idx="13">
                  <c:v>2700</c:v>
                </c:pt>
                <c:pt idx="14">
                  <c:v>2700</c:v>
                </c:pt>
                <c:pt idx="15">
                  <c:v>2700</c:v>
                </c:pt>
                <c:pt idx="16">
                  <c:v>2700</c:v>
                </c:pt>
                <c:pt idx="17">
                  <c:v>2700</c:v>
                </c:pt>
                <c:pt idx="18">
                  <c:v>2700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2700</c:v>
                </c:pt>
                <c:pt idx="23">
                  <c:v>2700</c:v>
                </c:pt>
                <c:pt idx="24">
                  <c:v>2700</c:v>
                </c:pt>
                <c:pt idx="25">
                  <c:v>2700</c:v>
                </c:pt>
                <c:pt idx="26">
                  <c:v>2700</c:v>
                </c:pt>
                <c:pt idx="27">
                  <c:v>2700</c:v>
                </c:pt>
                <c:pt idx="28">
                  <c:v>2700</c:v>
                </c:pt>
                <c:pt idx="29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60-44D7-B6A9-4CDD7CA3C992}"/>
            </c:ext>
          </c:extLst>
        </c:ser>
        <c:ser>
          <c:idx val="3"/>
          <c:order val="3"/>
          <c:tx>
            <c:strRef>
              <c:f>'MC Schedule'!$K$62</c:f>
              <c:strCache>
                <c:ptCount val="1"/>
                <c:pt idx="0">
                  <c:v>MC in solved mix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'MC Schedule'!$A$64:$A$93</c:f>
              <c:numCache>
                <c:formatCode>#,##0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'MC Schedule'!$K$64:$K$93</c:f>
              <c:numCache>
                <c:formatCode>\$#,##0</c:formatCode>
                <c:ptCount val="30"/>
                <c:pt idx="0">
                  <c:v>1671.015625</c:v>
                </c:pt>
                <c:pt idx="1">
                  <c:v>1690.791015625</c:v>
                </c:pt>
                <c:pt idx="2">
                  <c:v>1710.9371948242188</c:v>
                </c:pt>
                <c:pt idx="3">
                  <c:v>1731.4603424072266</c:v>
                </c:pt>
                <c:pt idx="4">
                  <c:v>1752.3667347431183</c:v>
                </c:pt>
                <c:pt idx="5">
                  <c:v>1773.6627462089091</c:v>
                </c:pt>
                <c:pt idx="6">
                  <c:v>1795.3548506590305</c:v>
                </c:pt>
                <c:pt idx="7">
                  <c:v>1817.4496229163196</c:v>
                </c:pt>
                <c:pt idx="8">
                  <c:v>1839.9537402846327</c:v>
                </c:pt>
                <c:pt idx="9">
                  <c:v>1862.8739840835478</c:v>
                </c:pt>
                <c:pt idx="10">
                  <c:v>1886.2172412055515</c:v>
                </c:pt>
                <c:pt idx="11">
                  <c:v>1909.9905056955613</c:v>
                </c:pt>
                <c:pt idx="12">
                  <c:v>1934.200880353892</c:v>
                </c:pt>
                <c:pt idx="13">
                  <c:v>1958.8555783621705</c:v>
                </c:pt>
                <c:pt idx="14">
                  <c:v>1983.9619249331008</c:v>
                </c:pt>
                <c:pt idx="15">
                  <c:v>2009.5273589841818</c:v>
                </c:pt>
                <c:pt idx="16">
                  <c:v>2035.5594348357699</c:v>
                </c:pt>
                <c:pt idx="17">
                  <c:v>2062.0658239338081</c:v>
                </c:pt>
                <c:pt idx="18">
                  <c:v>2089.0543165975978</c:v>
                </c:pt>
                <c:pt idx="19">
                  <c:v>2116.532823793008</c:v>
                </c:pt>
                <c:pt idx="20">
                  <c:v>2144.5093789313105</c:v>
                </c:pt>
                <c:pt idx="21">
                  <c:v>2172.9921396943828</c:v>
                </c:pt>
                <c:pt idx="22">
                  <c:v>2201.989389886061</c:v>
                </c:pt>
                <c:pt idx="23">
                  <c:v>2231.5095413106756</c:v>
                </c:pt>
                <c:pt idx="24">
                  <c:v>2261.5611356787849</c:v>
                </c:pt>
                <c:pt idx="25">
                  <c:v>2292.1528465402371</c:v>
                </c:pt>
                <c:pt idx="26">
                  <c:v>2323.2934812457825</c:v>
                </c:pt>
                <c:pt idx="27">
                  <c:v>2354.9919829366991</c:v>
                </c:pt>
                <c:pt idx="28">
                  <c:v>2387.2574325634196</c:v>
                </c:pt>
                <c:pt idx="29">
                  <c:v>2420.0990509335243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60-44D7-B6A9-4CDD7CA3C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Beds (q)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 per bed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6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26</xdr:row>
      <xdr:rowOff>0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46</xdr:row>
      <xdr:rowOff>0</xdr:rowOff>
    </xdr:from>
    <xdr:ext cx="792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F9" sqref="F9"/>
    </sheetView>
  </sheetViews>
  <sheetFormatPr defaultRowHeight="14.4" x14ac:dyDescent="0.3"/>
  <cols>
    <col min="1" max="1" width="30.88671875" customWidth="1"/>
    <col min="2" max="2" width="12" customWidth="1"/>
    <col min="3" max="3" width="14" customWidth="1"/>
    <col min="4" max="4" width="16" customWidth="1"/>
    <col min="5" max="5" width="18" customWidth="1"/>
    <col min="6" max="6" width="20" customWidth="1"/>
  </cols>
  <sheetData>
    <row r="1" spans="1:6" x14ac:dyDescent="0.3">
      <c r="A1" s="1" t="s">
        <v>35</v>
      </c>
    </row>
    <row r="3" spans="1:6" x14ac:dyDescent="0.3">
      <c r="A3" s="1" t="s">
        <v>36</v>
      </c>
    </row>
    <row r="4" spans="1:6" x14ac:dyDescent="0.3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</row>
    <row r="5" spans="1:6" x14ac:dyDescent="0.3">
      <c r="A5" t="s">
        <v>43</v>
      </c>
      <c r="B5" s="2">
        <v>20</v>
      </c>
      <c r="C5" s="3">
        <v>8800</v>
      </c>
      <c r="D5" s="3">
        <v>2.5</v>
      </c>
      <c r="E5" s="3">
        <v>880</v>
      </c>
      <c r="F5" s="10">
        <v>0.1</v>
      </c>
    </row>
    <row r="6" spans="1:6" x14ac:dyDescent="0.3">
      <c r="A6" t="s">
        <v>44</v>
      </c>
      <c r="B6" s="2">
        <v>20</v>
      </c>
      <c r="C6" s="3">
        <v>2094</v>
      </c>
      <c r="D6" s="3">
        <f>2.5/3</f>
        <v>0.83333333333333337</v>
      </c>
      <c r="E6" s="3">
        <v>440</v>
      </c>
      <c r="F6" s="10">
        <v>2.5000000000000001E-2</v>
      </c>
    </row>
    <row r="7" spans="1:6" x14ac:dyDescent="0.3">
      <c r="A7" t="s">
        <v>45</v>
      </c>
      <c r="B7" s="2">
        <v>30</v>
      </c>
      <c r="C7" s="3">
        <v>2700</v>
      </c>
      <c r="D7" s="3">
        <v>1.25</v>
      </c>
      <c r="E7" s="3">
        <v>880</v>
      </c>
      <c r="F7" s="10">
        <v>1.2500000000000001E-2</v>
      </c>
    </row>
    <row r="9" spans="1:6" x14ac:dyDescent="0.3">
      <c r="A9" s="1" t="s">
        <v>46</v>
      </c>
    </row>
    <row r="10" spans="1:6" x14ac:dyDescent="0.3">
      <c r="A10" s="1" t="s">
        <v>47</v>
      </c>
      <c r="B10" s="2">
        <v>64</v>
      </c>
    </row>
    <row r="11" spans="1:6" x14ac:dyDescent="0.3">
      <c r="A11" s="1" t="s">
        <v>48</v>
      </c>
      <c r="B11" s="4">
        <v>20000</v>
      </c>
    </row>
    <row r="12" spans="1:6" x14ac:dyDescent="0.3">
      <c r="A12" s="1" t="s">
        <v>49</v>
      </c>
      <c r="B12" s="2">
        <v>36</v>
      </c>
    </row>
    <row r="13" spans="1:6" x14ac:dyDescent="0.3">
      <c r="A13" s="1" t="s">
        <v>50</v>
      </c>
      <c r="B13" s="2">
        <v>720</v>
      </c>
    </row>
    <row r="14" spans="1:6" x14ac:dyDescent="0.3">
      <c r="A14" s="1" t="s">
        <v>51</v>
      </c>
      <c r="B14" s="3">
        <f>25000/720</f>
        <v>34.722222222222221</v>
      </c>
    </row>
    <row r="15" spans="1:6" x14ac:dyDescent="0.3">
      <c r="A15" s="1" t="s">
        <v>52</v>
      </c>
      <c r="B15" s="2">
        <v>4</v>
      </c>
    </row>
    <row r="16" spans="1:6" x14ac:dyDescent="0.3">
      <c r="A16" s="1" t="s">
        <v>53</v>
      </c>
      <c r="B16" s="2">
        <v>1440</v>
      </c>
    </row>
    <row r="17" spans="1:2" x14ac:dyDescent="0.3">
      <c r="A17" s="1" t="s">
        <v>54</v>
      </c>
      <c r="B17" s="3">
        <f>25000/1440</f>
        <v>17.361111111111111</v>
      </c>
    </row>
    <row r="19" spans="1:2" x14ac:dyDescent="0.3">
      <c r="A19" t="s">
        <v>55</v>
      </c>
    </row>
    <row r="20" spans="1:2" x14ac:dyDescent="0.3">
      <c r="A20" t="s">
        <v>56</v>
      </c>
    </row>
    <row r="21" spans="1:2" x14ac:dyDescent="0.3">
      <c r="A21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selection activeCell="C30" sqref="C30"/>
    </sheetView>
  </sheetViews>
  <sheetFormatPr defaultRowHeight="14.4" x14ac:dyDescent="0.3"/>
  <cols>
    <col min="1" max="1" width="25.77734375" customWidth="1"/>
    <col min="2" max="2" width="13.109375" customWidth="1"/>
    <col min="3" max="3" width="40" customWidth="1"/>
  </cols>
  <sheetData>
    <row r="1" spans="1:3" x14ac:dyDescent="0.3">
      <c r="A1" s="1" t="s">
        <v>58</v>
      </c>
    </row>
    <row r="3" spans="1:3" x14ac:dyDescent="0.3">
      <c r="A3" s="1" t="s">
        <v>59</v>
      </c>
    </row>
    <row r="4" spans="1:3" x14ac:dyDescent="0.3">
      <c r="A4" s="1" t="s">
        <v>27</v>
      </c>
      <c r="B4" s="2">
        <v>10</v>
      </c>
      <c r="C4" t="s">
        <v>60</v>
      </c>
    </row>
    <row r="5" spans="1:3" x14ac:dyDescent="0.3">
      <c r="A5" s="1" t="s">
        <v>28</v>
      </c>
      <c r="B5" s="2">
        <v>20</v>
      </c>
    </row>
    <row r="6" spans="1:3" x14ac:dyDescent="0.3">
      <c r="A6" s="1" t="s">
        <v>29</v>
      </c>
      <c r="B6" s="2">
        <v>30</v>
      </c>
    </row>
    <row r="8" spans="1:3" x14ac:dyDescent="0.3">
      <c r="A8" s="1" t="s">
        <v>61</v>
      </c>
    </row>
    <row r="9" spans="1:3" x14ac:dyDescent="0.3">
      <c r="A9" t="s">
        <v>62</v>
      </c>
      <c r="B9" s="3">
        <f>BedsTomatoes*LaborHrsPerBedTomatoes*SeasonWeeks*(1+DimReturnsTomatoes)^BedsTomatoes</f>
        <v>2334.3682140900019</v>
      </c>
    </row>
    <row r="10" spans="1:3" x14ac:dyDescent="0.3">
      <c r="A10" t="s">
        <v>63</v>
      </c>
      <c r="B10" s="3">
        <f>BedsCarrots*LaborHrsPerBedCarrots*SeasonWeeks*(1+DimReturnsCarrots)^BedsCarrots</f>
        <v>983.16986417423732</v>
      </c>
    </row>
    <row r="11" spans="1:3" x14ac:dyDescent="0.3">
      <c r="A11" t="s">
        <v>64</v>
      </c>
      <c r="B11" s="3">
        <f>BedsMesclun*LaborHrsPerBedMesclun*SeasonWeeks*(1+DimReturnsMesclun)^BedsMesclun</f>
        <v>1959.6780360096488</v>
      </c>
    </row>
    <row r="12" spans="1:3" x14ac:dyDescent="0.3">
      <c r="A12" s="1" t="s">
        <v>31</v>
      </c>
      <c r="B12" s="5">
        <f>LaborHoursTomatoes+LaborHoursCarrots+LaborHoursMesclun</f>
        <v>5277.2161142738878</v>
      </c>
    </row>
    <row r="14" spans="1:3" x14ac:dyDescent="0.3">
      <c r="A14" s="1" t="s">
        <v>65</v>
      </c>
    </row>
    <row r="15" spans="1:3" x14ac:dyDescent="0.3">
      <c r="A15" t="s">
        <v>66</v>
      </c>
      <c r="B15" s="3">
        <f>MIN(TotalLaborHours,OwnLaborHours)</f>
        <v>720</v>
      </c>
    </row>
    <row r="16" spans="1:3" x14ac:dyDescent="0.3">
      <c r="A16" t="s">
        <v>67</v>
      </c>
      <c r="B16" s="3">
        <f>MAX(TotalLaborHours-OwnLaborHours,0)</f>
        <v>4557.2161142738878</v>
      </c>
    </row>
    <row r="17" spans="1:3" x14ac:dyDescent="0.3">
      <c r="A17" t="s">
        <v>68</v>
      </c>
      <c r="B17" s="3">
        <f>TempWorkerCount*TempHoursPerWorker</f>
        <v>5760</v>
      </c>
    </row>
    <row r="18" spans="1:3" x14ac:dyDescent="0.3">
      <c r="A18" s="1" t="s">
        <v>69</v>
      </c>
      <c r="B18" s="6">
        <f>OwnLaborHoursUsed*OwnWageRate+TempLaborHoursUsed*TempWageRate</f>
        <v>104118.335317255</v>
      </c>
    </row>
    <row r="20" spans="1:3" x14ac:dyDescent="0.3">
      <c r="A20" s="1" t="s">
        <v>70</v>
      </c>
    </row>
    <row r="21" spans="1:3" x14ac:dyDescent="0.3">
      <c r="A21" t="s">
        <v>32</v>
      </c>
      <c r="B21" s="4">
        <f>BedsTomatoes*RevenuePerBedTomatoes+BedsCarrots*RevenuePerBedCarrots+BedsMesclun*RevenuePerBedMesclun</f>
        <v>210880</v>
      </c>
    </row>
    <row r="22" spans="1:3" x14ac:dyDescent="0.3">
      <c r="A22" t="s">
        <v>71</v>
      </c>
      <c r="B22" s="4">
        <f>BedsTomatoes*FertilizerPerBedTomatoes+BedsCarrots*FertilizerPerBedCarrots+BedsMesclun*FertilizerPerBedMesclun</f>
        <v>44000</v>
      </c>
    </row>
    <row r="23" spans="1:3" x14ac:dyDescent="0.3">
      <c r="A23" s="1" t="s">
        <v>33</v>
      </c>
      <c r="B23" s="6">
        <f>FixedCosts+FertilizerCost+LaborCost</f>
        <v>168118.335317255</v>
      </c>
    </row>
    <row r="24" spans="1:3" x14ac:dyDescent="0.3">
      <c r="A24" s="1" t="s">
        <v>34</v>
      </c>
      <c r="B24" s="9">
        <f>Revenue-TotalCost</f>
        <v>42761.664682745002</v>
      </c>
    </row>
    <row r="26" spans="1:3" x14ac:dyDescent="0.3">
      <c r="A26" s="1" t="s">
        <v>72</v>
      </c>
    </row>
    <row r="27" spans="1:3" x14ac:dyDescent="0.3">
      <c r="A27" t="s">
        <v>30</v>
      </c>
      <c r="B27" s="2">
        <f>BedsTomatoes+BedsCarrots+BedsMesclun</f>
        <v>60</v>
      </c>
      <c r="C27" t="s">
        <v>73</v>
      </c>
    </row>
    <row r="28" spans="1:3" x14ac:dyDescent="0.3">
      <c r="A28" t="s">
        <v>74</v>
      </c>
      <c r="B28" s="3">
        <f>OwnLaborHours+TempLaborCapacity</f>
        <v>6480</v>
      </c>
      <c r="C28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F1" sqref="F1"/>
    </sheetView>
  </sheetViews>
  <sheetFormatPr defaultRowHeight="14.4" x14ac:dyDescent="0.3"/>
  <cols>
    <col min="1" max="1" width="27.33203125" customWidth="1"/>
    <col min="2" max="2" width="10.77734375" customWidth="1"/>
  </cols>
  <sheetData>
    <row r="1" spans="1:2" x14ac:dyDescent="0.3">
      <c r="A1" s="1" t="s">
        <v>0</v>
      </c>
    </row>
    <row r="3" spans="1:2" x14ac:dyDescent="0.3">
      <c r="A3" s="1" t="s">
        <v>1</v>
      </c>
    </row>
    <row r="4" spans="1:2" x14ac:dyDescent="0.3">
      <c r="A4" s="1" t="s">
        <v>2</v>
      </c>
      <c r="B4" t="s">
        <v>3</v>
      </c>
    </row>
    <row r="5" spans="1:2" x14ac:dyDescent="0.3">
      <c r="A5" s="1" t="s">
        <v>4</v>
      </c>
      <c r="B5" t="s">
        <v>5</v>
      </c>
    </row>
    <row r="6" spans="1:2" x14ac:dyDescent="0.3">
      <c r="A6" s="1" t="s">
        <v>6</v>
      </c>
      <c r="B6" t="s">
        <v>7</v>
      </c>
    </row>
    <row r="7" spans="1:2" x14ac:dyDescent="0.3">
      <c r="A7" s="1" t="s">
        <v>8</v>
      </c>
      <c r="B7" t="s">
        <v>9</v>
      </c>
    </row>
    <row r="8" spans="1:2" x14ac:dyDescent="0.3">
      <c r="A8" s="1" t="s">
        <v>10</v>
      </c>
      <c r="B8" t="s">
        <v>11</v>
      </c>
    </row>
    <row r="9" spans="1:2" x14ac:dyDescent="0.3">
      <c r="A9" s="1" t="s">
        <v>12</v>
      </c>
      <c r="B9" t="s">
        <v>13</v>
      </c>
    </row>
    <row r="10" spans="1:2" x14ac:dyDescent="0.3">
      <c r="A10" s="1" t="s">
        <v>14</v>
      </c>
      <c r="B10" t="s">
        <v>15</v>
      </c>
    </row>
    <row r="11" spans="1:2" x14ac:dyDescent="0.3">
      <c r="A11" s="1" t="s">
        <v>16</v>
      </c>
      <c r="B11" t="s">
        <v>17</v>
      </c>
    </row>
    <row r="12" spans="1:2" x14ac:dyDescent="0.3">
      <c r="A12" s="1" t="s">
        <v>18</v>
      </c>
      <c r="B12" t="s">
        <v>19</v>
      </c>
    </row>
    <row r="13" spans="1:2" x14ac:dyDescent="0.3">
      <c r="A13" s="1" t="s">
        <v>20</v>
      </c>
      <c r="B13" t="s">
        <v>21</v>
      </c>
    </row>
    <row r="14" spans="1:2" ht="43.2" customHeight="1" x14ac:dyDescent="0.3">
      <c r="A14" s="1" t="s">
        <v>22</v>
      </c>
      <c r="B14" s="8" t="s">
        <v>23</v>
      </c>
    </row>
    <row r="15" spans="1:2" x14ac:dyDescent="0.3">
      <c r="A15" s="1" t="s">
        <v>24</v>
      </c>
      <c r="B15" t="s">
        <v>25</v>
      </c>
    </row>
    <row r="17" spans="1:2" x14ac:dyDescent="0.3">
      <c r="A17" s="1" t="s">
        <v>26</v>
      </c>
    </row>
    <row r="18" spans="1:2" x14ac:dyDescent="0.3">
      <c r="A18" t="s">
        <v>27</v>
      </c>
      <c r="B18" s="2">
        <f>BedsTomatoes</f>
        <v>10</v>
      </c>
    </row>
    <row r="19" spans="1:2" x14ac:dyDescent="0.3">
      <c r="A19" t="s">
        <v>28</v>
      </c>
      <c r="B19" s="2">
        <f>BedsCarrots</f>
        <v>20</v>
      </c>
    </row>
    <row r="20" spans="1:2" x14ac:dyDescent="0.3">
      <c r="A20" t="s">
        <v>29</v>
      </c>
      <c r="B20" s="2">
        <f>BedsMesclun</f>
        <v>30</v>
      </c>
    </row>
    <row r="21" spans="1:2" x14ac:dyDescent="0.3">
      <c r="A21" s="1" t="s">
        <v>30</v>
      </c>
      <c r="B21" s="7">
        <f>TotalBedsPlanted</f>
        <v>60</v>
      </c>
    </row>
    <row r="22" spans="1:2" x14ac:dyDescent="0.3">
      <c r="A22" t="s">
        <v>31</v>
      </c>
      <c r="B22" s="3">
        <f>TotalLaborHours</f>
        <v>5277.2161142738878</v>
      </c>
    </row>
    <row r="23" spans="1:2" x14ac:dyDescent="0.3">
      <c r="A23" t="s">
        <v>32</v>
      </c>
      <c r="B23" s="4">
        <f>Revenue</f>
        <v>210880</v>
      </c>
    </row>
    <row r="24" spans="1:2" x14ac:dyDescent="0.3">
      <c r="A24" t="s">
        <v>33</v>
      </c>
      <c r="B24" s="4">
        <f>TotalCost</f>
        <v>168118.335317255</v>
      </c>
    </row>
    <row r="25" spans="1:2" x14ac:dyDescent="0.3">
      <c r="A25" s="1" t="s">
        <v>34</v>
      </c>
      <c r="B25" s="6">
        <f>Profit</f>
        <v>42761.664682745002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7"/>
  <sheetViews>
    <sheetView tabSelected="1" workbookViewId="0"/>
  </sheetViews>
  <sheetFormatPr defaultRowHeight="14.4" x14ac:dyDescent="0.3"/>
  <cols>
    <col min="1" max="1" width="12" customWidth="1"/>
    <col min="2" max="10" width="15" customWidth="1"/>
    <col min="11" max="11" width="17" customWidth="1"/>
  </cols>
  <sheetData>
    <row r="1" spans="1:11" x14ac:dyDescent="0.3">
      <c r="A1" s="11" t="s">
        <v>76</v>
      </c>
    </row>
    <row r="2" spans="1:11" x14ac:dyDescent="0.3">
      <c r="A2" t="s">
        <v>77</v>
      </c>
    </row>
    <row r="3" spans="1:11" x14ac:dyDescent="0.3">
      <c r="A3" t="s">
        <v>78</v>
      </c>
    </row>
    <row r="4" spans="1:11" x14ac:dyDescent="0.3">
      <c r="A4" t="s">
        <v>79</v>
      </c>
    </row>
    <row r="5" spans="1:11" x14ac:dyDescent="0.3">
      <c r="A5" t="s">
        <v>80</v>
      </c>
    </row>
    <row r="6" spans="1:11" x14ac:dyDescent="0.3">
      <c r="A6" t="s">
        <v>81</v>
      </c>
    </row>
    <row r="7" spans="1:11" x14ac:dyDescent="0.3">
      <c r="A7" s="11" t="s">
        <v>43</v>
      </c>
    </row>
    <row r="8" spans="1:11" x14ac:dyDescent="0.3">
      <c r="A8" s="11" t="s">
        <v>82</v>
      </c>
      <c r="B8" s="11" t="s">
        <v>83</v>
      </c>
      <c r="C8" s="11" t="s">
        <v>69</v>
      </c>
      <c r="D8" s="11" t="s">
        <v>71</v>
      </c>
      <c r="E8" s="11" t="s">
        <v>84</v>
      </c>
      <c r="F8" s="11" t="s">
        <v>85</v>
      </c>
      <c r="G8" s="11" t="s">
        <v>86</v>
      </c>
      <c r="H8" s="11" t="s">
        <v>87</v>
      </c>
      <c r="I8" s="11" t="s">
        <v>88</v>
      </c>
      <c r="J8" s="11" t="s">
        <v>89</v>
      </c>
      <c r="K8" s="11" t="s">
        <v>90</v>
      </c>
    </row>
    <row r="9" spans="1:11" x14ac:dyDescent="0.3">
      <c r="A9" s="2">
        <v>0</v>
      </c>
      <c r="B9" s="3">
        <f t="shared" ref="B9:B29" si="0">A9*LaborHrsPerBedTomatoes*SeasonWeeks*(1+DimReturnsTomatoes)^A9</f>
        <v>0</v>
      </c>
      <c r="C9" s="4">
        <f t="shared" ref="C9:C29" si="1">MIN(B9,OwnLaborHours)*OwnWageRate+MAX(B9-OwnLaborHours,0)*TempWageRate</f>
        <v>0</v>
      </c>
      <c r="D9" s="4">
        <f t="shared" ref="D9:D29" si="2">A9*FertilizerPerBedTomatoes</f>
        <v>0</v>
      </c>
      <c r="E9" s="4">
        <f t="shared" ref="E9:E29" si="3">C9+D9</f>
        <v>0</v>
      </c>
      <c r="J9" s="4">
        <f t="shared" ref="J9:J29" si="4">A9*RevenuePerBedTomatoes-E9-FixedCosts</f>
        <v>-20000</v>
      </c>
    </row>
    <row r="10" spans="1:11" x14ac:dyDescent="0.3">
      <c r="A10" s="2">
        <v>1</v>
      </c>
      <c r="B10" s="3">
        <f t="shared" si="0"/>
        <v>99.000000000000014</v>
      </c>
      <c r="C10" s="4">
        <f t="shared" si="1"/>
        <v>3437.5000000000005</v>
      </c>
      <c r="D10" s="4">
        <f t="shared" si="2"/>
        <v>880</v>
      </c>
      <c r="E10" s="4">
        <f t="shared" si="3"/>
        <v>4317.5</v>
      </c>
      <c r="F10" s="4">
        <f t="shared" ref="F10:F29" si="5">E10-E9</f>
        <v>4317.5</v>
      </c>
      <c r="G10" s="4">
        <f t="shared" ref="G10:G29" si="6">E10/A10</f>
        <v>4317.5</v>
      </c>
      <c r="H10" s="4">
        <f t="shared" ref="H10:H29" si="7">RevenuePerBedTomatoes</f>
        <v>8800</v>
      </c>
      <c r="I10" s="4">
        <f t="shared" ref="I10:I29" si="8">H10-F10</f>
        <v>4482.5</v>
      </c>
      <c r="J10" s="4">
        <f t="shared" si="4"/>
        <v>-15517.5</v>
      </c>
      <c r="K10" s="4">
        <f t="shared" ref="K10:K29" si="9">(MIN(((TotalLaborHours-LaborHoursTomatoes)+B10),OwnLaborHours)*OwnWageRate+MAX(((TotalLaborHours-LaborHoursTomatoes)+B10)-OwnLaborHours,0)*TempWageRate)-(MIN(((TotalLaborHours-LaborHoursTomatoes)+B9),OwnLaborHours)*OwnWageRate+MAX(((TotalLaborHours-LaborHoursTomatoes)+B9)-OwnLaborHours,0)*TempWageRate)+FertilizerPerBedTomatoes</f>
        <v>2598.75</v>
      </c>
    </row>
    <row r="11" spans="1:11" x14ac:dyDescent="0.3">
      <c r="A11" s="2">
        <v>2</v>
      </c>
      <c r="B11" s="3">
        <f t="shared" si="0"/>
        <v>217.80000000000004</v>
      </c>
      <c r="C11" s="4">
        <f t="shared" si="1"/>
        <v>7562.5000000000009</v>
      </c>
      <c r="D11" s="4">
        <f t="shared" si="2"/>
        <v>1760</v>
      </c>
      <c r="E11" s="4">
        <f t="shared" si="3"/>
        <v>9322.5</v>
      </c>
      <c r="F11" s="4">
        <f t="shared" si="5"/>
        <v>5005</v>
      </c>
      <c r="G11" s="4">
        <f t="shared" si="6"/>
        <v>4661.25</v>
      </c>
      <c r="H11" s="4">
        <f t="shared" si="7"/>
        <v>8800</v>
      </c>
      <c r="I11" s="4">
        <f t="shared" si="8"/>
        <v>3795</v>
      </c>
      <c r="J11" s="4">
        <f t="shared" si="4"/>
        <v>-11722.5</v>
      </c>
      <c r="K11" s="4">
        <f t="shared" si="9"/>
        <v>2942.4999999999927</v>
      </c>
    </row>
    <row r="12" spans="1:11" x14ac:dyDescent="0.3">
      <c r="A12" s="2">
        <v>3</v>
      </c>
      <c r="B12" s="3">
        <f t="shared" si="0"/>
        <v>359.37000000000012</v>
      </c>
      <c r="C12" s="4">
        <f t="shared" si="1"/>
        <v>12478.125000000004</v>
      </c>
      <c r="D12" s="4">
        <f t="shared" si="2"/>
        <v>2640</v>
      </c>
      <c r="E12" s="4">
        <f t="shared" si="3"/>
        <v>15118.125000000004</v>
      </c>
      <c r="F12" s="4">
        <f t="shared" si="5"/>
        <v>5795.6250000000036</v>
      </c>
      <c r="G12" s="4">
        <f t="shared" si="6"/>
        <v>5039.3750000000009</v>
      </c>
      <c r="H12" s="4">
        <f t="shared" si="7"/>
        <v>8800</v>
      </c>
      <c r="I12" s="4">
        <f t="shared" si="8"/>
        <v>3004.3749999999964</v>
      </c>
      <c r="J12" s="4">
        <f t="shared" si="4"/>
        <v>-8718.1250000000036</v>
      </c>
      <c r="K12" s="4">
        <f t="shared" si="9"/>
        <v>3337.8125</v>
      </c>
    </row>
    <row r="13" spans="1:11" x14ac:dyDescent="0.3">
      <c r="A13" s="2">
        <v>4</v>
      </c>
      <c r="B13" s="3">
        <f t="shared" si="0"/>
        <v>527.07600000000014</v>
      </c>
      <c r="C13" s="4">
        <f t="shared" si="1"/>
        <v>18301.250000000004</v>
      </c>
      <c r="D13" s="4">
        <f t="shared" si="2"/>
        <v>3520</v>
      </c>
      <c r="E13" s="4">
        <f t="shared" si="3"/>
        <v>21821.250000000004</v>
      </c>
      <c r="F13" s="4">
        <f t="shared" si="5"/>
        <v>6703.125</v>
      </c>
      <c r="G13" s="4">
        <f t="shared" si="6"/>
        <v>5455.3125000000009</v>
      </c>
      <c r="H13" s="4">
        <f t="shared" si="7"/>
        <v>8800</v>
      </c>
      <c r="I13" s="4">
        <f t="shared" si="8"/>
        <v>2096.875</v>
      </c>
      <c r="J13" s="4">
        <f t="shared" si="4"/>
        <v>-6621.2500000000036</v>
      </c>
      <c r="K13" s="4">
        <f t="shared" si="9"/>
        <v>3791.5625</v>
      </c>
    </row>
    <row r="14" spans="1:11" x14ac:dyDescent="0.3">
      <c r="A14" s="2">
        <v>5</v>
      </c>
      <c r="B14" s="3">
        <f t="shared" si="0"/>
        <v>724.72950000000026</v>
      </c>
      <c r="C14" s="4">
        <f t="shared" si="1"/>
        <v>25082.109375000004</v>
      </c>
      <c r="D14" s="4">
        <f t="shared" si="2"/>
        <v>4400</v>
      </c>
      <c r="E14" s="4">
        <f t="shared" si="3"/>
        <v>29482.109375000004</v>
      </c>
      <c r="F14" s="4">
        <f t="shared" si="5"/>
        <v>7660.859375</v>
      </c>
      <c r="G14" s="4">
        <f t="shared" si="6"/>
        <v>5896.4218750000009</v>
      </c>
      <c r="H14" s="4">
        <f t="shared" si="7"/>
        <v>8800</v>
      </c>
      <c r="I14" s="4">
        <f t="shared" si="8"/>
        <v>1139.140625</v>
      </c>
      <c r="J14" s="4">
        <f t="shared" si="4"/>
        <v>-5482.1093750000036</v>
      </c>
      <c r="K14" s="4">
        <f t="shared" si="9"/>
        <v>4311.4843750000146</v>
      </c>
    </row>
    <row r="15" spans="1:11" x14ac:dyDescent="0.3">
      <c r="A15" s="2">
        <v>6</v>
      </c>
      <c r="B15" s="3">
        <f t="shared" si="0"/>
        <v>956.64294000000041</v>
      </c>
      <c r="C15" s="4">
        <f t="shared" si="1"/>
        <v>29108.384375000009</v>
      </c>
      <c r="D15" s="4">
        <f t="shared" si="2"/>
        <v>5280</v>
      </c>
      <c r="E15" s="4">
        <f t="shared" si="3"/>
        <v>34388.384375000009</v>
      </c>
      <c r="F15" s="4">
        <f t="shared" si="5"/>
        <v>4906.2750000000051</v>
      </c>
      <c r="G15" s="4">
        <f t="shared" si="6"/>
        <v>5731.3973958333345</v>
      </c>
      <c r="H15" s="4">
        <f t="shared" si="7"/>
        <v>8800</v>
      </c>
      <c r="I15" s="4">
        <f t="shared" si="8"/>
        <v>3893.7249999999949</v>
      </c>
      <c r="J15" s="4">
        <f t="shared" si="4"/>
        <v>-1588.3843750000087</v>
      </c>
      <c r="K15" s="4">
        <f t="shared" si="9"/>
        <v>4906.2750000000087</v>
      </c>
    </row>
    <row r="16" spans="1:11" x14ac:dyDescent="0.3">
      <c r="A16" s="2">
        <v>7</v>
      </c>
      <c r="B16" s="3">
        <f t="shared" si="0"/>
        <v>1227.6917730000007</v>
      </c>
      <c r="C16" s="4">
        <f t="shared" si="1"/>
        <v>33814.09328125001</v>
      </c>
      <c r="D16" s="4">
        <f t="shared" si="2"/>
        <v>6160</v>
      </c>
      <c r="E16" s="4">
        <f t="shared" si="3"/>
        <v>39974.09328125001</v>
      </c>
      <c r="F16" s="4">
        <f t="shared" si="5"/>
        <v>5585.7089062500017</v>
      </c>
      <c r="G16" s="4">
        <f t="shared" si="6"/>
        <v>5710.5847544642875</v>
      </c>
      <c r="H16" s="4">
        <f t="shared" si="7"/>
        <v>8800</v>
      </c>
      <c r="I16" s="4">
        <f t="shared" si="8"/>
        <v>3214.2910937499983</v>
      </c>
      <c r="J16" s="4">
        <f t="shared" si="4"/>
        <v>1625.9067187499895</v>
      </c>
      <c r="K16" s="4">
        <f t="shared" si="9"/>
        <v>5585.7089062499872</v>
      </c>
    </row>
    <row r="17" spans="1:11" x14ac:dyDescent="0.3">
      <c r="A17" s="2">
        <v>8</v>
      </c>
      <c r="B17" s="3">
        <f t="shared" si="0"/>
        <v>1543.3839432000009</v>
      </c>
      <c r="C17" s="4">
        <f t="shared" si="1"/>
        <v>39294.860125000014</v>
      </c>
      <c r="D17" s="4">
        <f t="shared" si="2"/>
        <v>7040</v>
      </c>
      <c r="E17" s="4">
        <f t="shared" si="3"/>
        <v>46334.860125000014</v>
      </c>
      <c r="F17" s="4">
        <f t="shared" si="5"/>
        <v>6360.7668437500033</v>
      </c>
      <c r="G17" s="4">
        <f t="shared" si="6"/>
        <v>5791.8575156250017</v>
      </c>
      <c r="H17" s="4">
        <f t="shared" si="7"/>
        <v>8800</v>
      </c>
      <c r="I17" s="4">
        <f t="shared" si="8"/>
        <v>2439.2331562499967</v>
      </c>
      <c r="J17" s="4">
        <f t="shared" si="4"/>
        <v>4065.1398749999862</v>
      </c>
      <c r="K17" s="4">
        <f t="shared" si="9"/>
        <v>6360.766843749996</v>
      </c>
    </row>
    <row r="18" spans="1:11" x14ac:dyDescent="0.3">
      <c r="A18" s="2">
        <v>9</v>
      </c>
      <c r="B18" s="3">
        <f t="shared" si="0"/>
        <v>1909.9376297100011</v>
      </c>
      <c r="C18" s="4">
        <f t="shared" si="1"/>
        <v>45658.639404687521</v>
      </c>
      <c r="D18" s="4">
        <f t="shared" si="2"/>
        <v>7920</v>
      </c>
      <c r="E18" s="4">
        <f t="shared" si="3"/>
        <v>53578.639404687521</v>
      </c>
      <c r="F18" s="4">
        <f t="shared" si="5"/>
        <v>7243.7792796875074</v>
      </c>
      <c r="G18" s="4">
        <f t="shared" si="6"/>
        <v>5953.182156076391</v>
      </c>
      <c r="H18" s="4">
        <f t="shared" si="7"/>
        <v>8800</v>
      </c>
      <c r="I18" s="4">
        <f t="shared" si="8"/>
        <v>1556.2207203124926</v>
      </c>
      <c r="J18" s="4">
        <f t="shared" si="4"/>
        <v>5621.3605953124788</v>
      </c>
      <c r="K18" s="4">
        <f t="shared" si="9"/>
        <v>7243.7792796875146</v>
      </c>
    </row>
    <row r="19" spans="1:11" x14ac:dyDescent="0.3">
      <c r="A19" s="2">
        <v>10</v>
      </c>
      <c r="B19" s="3">
        <f t="shared" si="0"/>
        <v>2334.3682140900019</v>
      </c>
      <c r="C19" s="4">
        <f t="shared" si="1"/>
        <v>53027.225939062533</v>
      </c>
      <c r="D19" s="4">
        <f t="shared" si="2"/>
        <v>8800</v>
      </c>
      <c r="E19" s="4">
        <f t="shared" si="3"/>
        <v>61827.225939062533</v>
      </c>
      <c r="F19" s="4">
        <f t="shared" si="5"/>
        <v>8248.586534375012</v>
      </c>
      <c r="G19" s="4">
        <f t="shared" si="6"/>
        <v>6182.7225939062537</v>
      </c>
      <c r="H19" s="4">
        <f t="shared" si="7"/>
        <v>8800</v>
      </c>
      <c r="I19" s="4">
        <f t="shared" si="8"/>
        <v>551.41346562498802</v>
      </c>
      <c r="J19" s="4">
        <f t="shared" si="4"/>
        <v>6172.7740609374669</v>
      </c>
      <c r="K19" s="4">
        <f t="shared" si="9"/>
        <v>8248.5865343750193</v>
      </c>
    </row>
    <row r="20" spans="1:11" x14ac:dyDescent="0.3">
      <c r="A20" s="2">
        <v>11</v>
      </c>
      <c r="B20" s="3">
        <f t="shared" si="0"/>
        <v>2824.5855390489023</v>
      </c>
      <c r="C20" s="4">
        <f t="shared" si="1"/>
        <v>61537.943386265666</v>
      </c>
      <c r="D20" s="4">
        <f t="shared" si="2"/>
        <v>9680</v>
      </c>
      <c r="E20" s="4">
        <f t="shared" si="3"/>
        <v>71217.943386265659</v>
      </c>
      <c r="F20" s="4">
        <f t="shared" si="5"/>
        <v>9390.7174472031256</v>
      </c>
      <c r="G20" s="4">
        <f t="shared" si="6"/>
        <v>6474.3584896605144</v>
      </c>
      <c r="H20" s="4">
        <f t="shared" si="7"/>
        <v>8800</v>
      </c>
      <c r="I20" s="4">
        <f t="shared" si="8"/>
        <v>-590.71744720312563</v>
      </c>
      <c r="J20" s="4">
        <f t="shared" si="4"/>
        <v>5582.0566137343412</v>
      </c>
      <c r="K20" s="4">
        <f t="shared" si="9"/>
        <v>9390.7174472031329</v>
      </c>
    </row>
    <row r="21" spans="1:11" x14ac:dyDescent="0.3">
      <c r="A21" s="2">
        <v>12</v>
      </c>
      <c r="B21" s="3">
        <f t="shared" si="0"/>
        <v>3389.502646858683</v>
      </c>
      <c r="C21" s="4">
        <f t="shared" si="1"/>
        <v>71345.532063518796</v>
      </c>
      <c r="D21" s="4">
        <f t="shared" si="2"/>
        <v>10560</v>
      </c>
      <c r="E21" s="4">
        <f t="shared" si="3"/>
        <v>81905.532063518796</v>
      </c>
      <c r="F21" s="4">
        <f t="shared" si="5"/>
        <v>10687.588677253138</v>
      </c>
      <c r="G21" s="4">
        <f t="shared" si="6"/>
        <v>6825.461005293233</v>
      </c>
      <c r="H21" s="4">
        <f t="shared" si="7"/>
        <v>8800</v>
      </c>
      <c r="I21" s="4">
        <f t="shared" si="8"/>
        <v>-1887.5886772531376</v>
      </c>
      <c r="J21" s="4">
        <f t="shared" si="4"/>
        <v>3694.4679364812037</v>
      </c>
      <c r="K21" s="4">
        <f t="shared" si="9"/>
        <v>10687.588677253138</v>
      </c>
    </row>
    <row r="22" spans="1:11" x14ac:dyDescent="0.3">
      <c r="A22" s="2">
        <v>13</v>
      </c>
      <c r="B22" s="3">
        <f t="shared" si="0"/>
        <v>4039.1573208399304</v>
      </c>
      <c r="C22" s="4">
        <f t="shared" si="1"/>
        <v>82624.259042359903</v>
      </c>
      <c r="D22" s="4">
        <f t="shared" si="2"/>
        <v>11440</v>
      </c>
      <c r="E22" s="4">
        <f t="shared" si="3"/>
        <v>94064.259042359903</v>
      </c>
      <c r="F22" s="4">
        <f t="shared" si="5"/>
        <v>12158.726978841107</v>
      </c>
      <c r="G22" s="4">
        <f t="shared" si="6"/>
        <v>7235.7122340276846</v>
      </c>
      <c r="H22" s="4">
        <f t="shared" si="7"/>
        <v>8800</v>
      </c>
      <c r="I22" s="4">
        <f t="shared" si="8"/>
        <v>-3358.7269788411068</v>
      </c>
      <c r="J22" s="4">
        <f t="shared" si="4"/>
        <v>335.74095764009689</v>
      </c>
      <c r="K22" s="4">
        <f t="shared" si="9"/>
        <v>12158.726978841078</v>
      </c>
    </row>
    <row r="23" spans="1:11" x14ac:dyDescent="0.3">
      <c r="A23" s="2">
        <v>14</v>
      </c>
      <c r="B23" s="3">
        <f t="shared" si="0"/>
        <v>4784.8479031488414</v>
      </c>
      <c r="C23" s="4">
        <f t="shared" si="1"/>
        <v>95570.276096334055</v>
      </c>
      <c r="D23" s="4">
        <f t="shared" si="2"/>
        <v>12320</v>
      </c>
      <c r="E23" s="4">
        <f t="shared" si="3"/>
        <v>107890.27609633406</v>
      </c>
      <c r="F23" s="4">
        <f t="shared" si="5"/>
        <v>13826.017053974152</v>
      </c>
      <c r="G23" s="4">
        <f t="shared" si="6"/>
        <v>7706.4482925952898</v>
      </c>
      <c r="H23" s="4">
        <f t="shared" si="7"/>
        <v>8800</v>
      </c>
      <c r="I23" s="4">
        <f t="shared" si="8"/>
        <v>-5026.0170539741521</v>
      </c>
      <c r="J23" s="4">
        <f t="shared" si="4"/>
        <v>-4690.2760963340552</v>
      </c>
      <c r="K23" s="4">
        <f t="shared" si="9"/>
        <v>13826.017053974152</v>
      </c>
    </row>
    <row r="24" spans="1:11" x14ac:dyDescent="0.3">
      <c r="A24" s="2">
        <v>15</v>
      </c>
      <c r="B24" s="3">
        <f t="shared" si="0"/>
        <v>5639.2850287111351</v>
      </c>
      <c r="C24" s="4">
        <f t="shared" si="1"/>
        <v>110404.25397067942</v>
      </c>
      <c r="D24" s="4">
        <f t="shared" si="2"/>
        <v>13200</v>
      </c>
      <c r="E24" s="4">
        <f t="shared" si="3"/>
        <v>123604.25397067942</v>
      </c>
      <c r="F24" s="4">
        <f t="shared" si="5"/>
        <v>15713.977874345364</v>
      </c>
      <c r="G24" s="4">
        <f t="shared" si="6"/>
        <v>8240.2835980452946</v>
      </c>
      <c r="H24" s="4">
        <f t="shared" si="7"/>
        <v>8800</v>
      </c>
      <c r="I24" s="4">
        <f t="shared" si="8"/>
        <v>-6913.9778743453644</v>
      </c>
      <c r="J24" s="4">
        <f t="shared" si="4"/>
        <v>-11604.25397067942</v>
      </c>
      <c r="K24" s="4">
        <f t="shared" si="9"/>
        <v>15713.977874345408</v>
      </c>
    </row>
    <row r="25" spans="1:11" x14ac:dyDescent="0.3">
      <c r="A25" s="2">
        <v>16</v>
      </c>
      <c r="B25" s="3">
        <f t="shared" si="0"/>
        <v>6616.761100354398</v>
      </c>
      <c r="C25" s="4">
        <f t="shared" si="1"/>
        <v>127374.32465893052</v>
      </c>
      <c r="D25" s="4">
        <f t="shared" si="2"/>
        <v>14080</v>
      </c>
      <c r="E25" s="4">
        <f t="shared" si="3"/>
        <v>141454.32465893053</v>
      </c>
      <c r="F25" s="4">
        <f t="shared" si="5"/>
        <v>17850.070688251115</v>
      </c>
      <c r="G25" s="4">
        <f t="shared" si="6"/>
        <v>8840.8952911831584</v>
      </c>
      <c r="H25" s="4">
        <f t="shared" si="7"/>
        <v>8800</v>
      </c>
      <c r="I25" s="4">
        <f t="shared" si="8"/>
        <v>-9050.0706882511149</v>
      </c>
      <c r="J25" s="4">
        <f t="shared" si="4"/>
        <v>-20654.324658930534</v>
      </c>
      <c r="K25" s="4">
        <f t="shared" si="9"/>
        <v>17850.070688251057</v>
      </c>
    </row>
    <row r="26" spans="1:11" x14ac:dyDescent="0.3">
      <c r="A26" s="2">
        <v>17</v>
      </c>
      <c r="B26" s="3">
        <f t="shared" si="0"/>
        <v>7733.3395360392033</v>
      </c>
      <c r="C26" s="4">
        <f t="shared" si="1"/>
        <v>146759.36694512505</v>
      </c>
      <c r="D26" s="4">
        <f t="shared" si="2"/>
        <v>14960</v>
      </c>
      <c r="E26" s="4">
        <f t="shared" si="3"/>
        <v>161719.36694512505</v>
      </c>
      <c r="F26" s="4">
        <f t="shared" si="5"/>
        <v>20265.042286194512</v>
      </c>
      <c r="G26" s="4">
        <f t="shared" si="6"/>
        <v>9512.903937948533</v>
      </c>
      <c r="H26" s="4">
        <f t="shared" si="7"/>
        <v>8800</v>
      </c>
      <c r="I26" s="4">
        <f t="shared" si="8"/>
        <v>-11465.042286194512</v>
      </c>
      <c r="J26" s="4">
        <f t="shared" si="4"/>
        <v>-32119.366945125046</v>
      </c>
      <c r="K26" s="4">
        <f t="shared" si="9"/>
        <v>20265.042286194541</v>
      </c>
    </row>
    <row r="27" spans="1:11" x14ac:dyDescent="0.3">
      <c r="A27" s="2">
        <v>18</v>
      </c>
      <c r="B27" s="3">
        <f t="shared" si="0"/>
        <v>9007.0660478574246</v>
      </c>
      <c r="C27" s="4">
        <f t="shared" si="1"/>
        <v>168872.67444196917</v>
      </c>
      <c r="D27" s="4">
        <f t="shared" si="2"/>
        <v>15840</v>
      </c>
      <c r="E27" s="4">
        <f t="shared" si="3"/>
        <v>184712.67444196917</v>
      </c>
      <c r="F27" s="4">
        <f t="shared" si="5"/>
        <v>22993.307496844121</v>
      </c>
      <c r="G27" s="4">
        <f t="shared" si="6"/>
        <v>10261.815246776065</v>
      </c>
      <c r="H27" s="4">
        <f t="shared" si="7"/>
        <v>8800</v>
      </c>
      <c r="I27" s="4">
        <f t="shared" si="8"/>
        <v>-14193.307496844121</v>
      </c>
      <c r="J27" s="4">
        <f t="shared" si="4"/>
        <v>-46312.674441969168</v>
      </c>
      <c r="K27" s="4">
        <f t="shared" si="9"/>
        <v>22993.307496844121</v>
      </c>
    </row>
    <row r="28" spans="1:11" x14ac:dyDescent="0.3">
      <c r="A28" s="2">
        <v>19</v>
      </c>
      <c r="B28" s="3">
        <f t="shared" si="0"/>
        <v>10458.204466678902</v>
      </c>
      <c r="C28" s="4">
        <f t="shared" si="1"/>
        <v>194066.04976873094</v>
      </c>
      <c r="D28" s="4">
        <f t="shared" si="2"/>
        <v>16720</v>
      </c>
      <c r="E28" s="4">
        <f t="shared" si="3"/>
        <v>210786.04976873094</v>
      </c>
      <c r="F28" s="4">
        <f t="shared" si="5"/>
        <v>26073.375326761772</v>
      </c>
      <c r="G28" s="4">
        <f t="shared" si="6"/>
        <v>11094.002619406892</v>
      </c>
      <c r="H28" s="4">
        <f t="shared" si="7"/>
        <v>8800</v>
      </c>
      <c r="I28" s="4">
        <f t="shared" si="8"/>
        <v>-17273.375326761772</v>
      </c>
      <c r="J28" s="4">
        <f t="shared" si="4"/>
        <v>-63586.04976873094</v>
      </c>
      <c r="K28" s="4">
        <f t="shared" si="9"/>
        <v>26073.375326761772</v>
      </c>
    </row>
    <row r="29" spans="1:11" x14ac:dyDescent="0.3">
      <c r="A29" s="2">
        <v>20</v>
      </c>
      <c r="B29" s="3">
        <f t="shared" si="0"/>
        <v>12109.499908786096</v>
      </c>
      <c r="C29" s="4">
        <f t="shared" si="1"/>
        <v>222734.37341642528</v>
      </c>
      <c r="D29" s="4">
        <f t="shared" si="2"/>
        <v>17600</v>
      </c>
      <c r="E29" s="4">
        <f t="shared" si="3"/>
        <v>240334.37341642528</v>
      </c>
      <c r="F29" s="4">
        <f t="shared" si="5"/>
        <v>29548.323647694342</v>
      </c>
      <c r="G29" s="4">
        <f t="shared" si="6"/>
        <v>12016.718670821265</v>
      </c>
      <c r="H29" s="4">
        <f t="shared" si="7"/>
        <v>8800</v>
      </c>
      <c r="I29" s="4">
        <f t="shared" si="8"/>
        <v>-20748.323647694342</v>
      </c>
      <c r="J29" s="4">
        <f t="shared" si="4"/>
        <v>-84334.373416425282</v>
      </c>
      <c r="K29" s="4">
        <f t="shared" si="9"/>
        <v>29548.323647694371</v>
      </c>
    </row>
    <row r="32" spans="1:11" x14ac:dyDescent="0.3">
      <c r="A32" s="11" t="s">
        <v>44</v>
      </c>
    </row>
    <row r="33" spans="1:11" x14ac:dyDescent="0.3">
      <c r="A33" s="11" t="s">
        <v>82</v>
      </c>
      <c r="B33" s="11" t="s">
        <v>83</v>
      </c>
      <c r="C33" s="11" t="s">
        <v>69</v>
      </c>
      <c r="D33" s="11" t="s">
        <v>71</v>
      </c>
      <c r="E33" s="11" t="s">
        <v>84</v>
      </c>
      <c r="F33" s="11" t="s">
        <v>85</v>
      </c>
      <c r="G33" s="11" t="s">
        <v>86</v>
      </c>
      <c r="H33" s="11" t="s">
        <v>87</v>
      </c>
      <c r="I33" s="11" t="s">
        <v>88</v>
      </c>
      <c r="J33" s="11" t="s">
        <v>89</v>
      </c>
      <c r="K33" s="11" t="s">
        <v>90</v>
      </c>
    </row>
    <row r="34" spans="1:11" x14ac:dyDescent="0.3">
      <c r="A34" s="2">
        <v>0</v>
      </c>
      <c r="B34" s="3">
        <f t="shared" ref="B34:B58" si="10">A34*LaborHrsPerBedCarrots*SeasonWeeks*(1+DimReturnsCarrots)^A34</f>
        <v>0</v>
      </c>
      <c r="C34" s="4">
        <f t="shared" ref="C34:C58" si="11">MIN(B34,OwnLaborHours)*OwnWageRate+MAX(B34-OwnLaborHours,0)*TempWageRate</f>
        <v>0</v>
      </c>
      <c r="D34" s="4">
        <f t="shared" ref="D34:D58" si="12">A34*FertilizerPerBedCarrots</f>
        <v>0</v>
      </c>
      <c r="E34" s="4">
        <f t="shared" ref="E34:E58" si="13">C34+D34</f>
        <v>0</v>
      </c>
      <c r="J34" s="4">
        <f t="shared" ref="J34:J58" si="14">A34*RevenuePerBedCarrots-E34-FixedCosts</f>
        <v>-20000</v>
      </c>
    </row>
    <row r="35" spans="1:11" x14ac:dyDescent="0.3">
      <c r="A35" s="2">
        <v>1</v>
      </c>
      <c r="B35" s="3">
        <f t="shared" si="10"/>
        <v>30.749999999999996</v>
      </c>
      <c r="C35" s="4">
        <f t="shared" si="11"/>
        <v>1067.7083333333333</v>
      </c>
      <c r="D35" s="4">
        <f t="shared" si="12"/>
        <v>440</v>
      </c>
      <c r="E35" s="4">
        <f t="shared" si="13"/>
        <v>1507.7083333333333</v>
      </c>
      <c r="F35" s="4">
        <f t="shared" ref="F35:F58" si="15">E35-E34</f>
        <v>1507.7083333333333</v>
      </c>
      <c r="G35" s="4">
        <f t="shared" ref="G35:G58" si="16">E35/A35</f>
        <v>1507.7083333333333</v>
      </c>
      <c r="H35" s="4">
        <f t="shared" ref="H35:H58" si="17">RevenuePerBedCarrots</f>
        <v>2094</v>
      </c>
      <c r="I35" s="4">
        <f t="shared" ref="I35:I58" si="18">H35-F35</f>
        <v>586.29166666666674</v>
      </c>
      <c r="J35" s="4">
        <f t="shared" si="14"/>
        <v>-19413.708333333332</v>
      </c>
      <c r="K35" s="4">
        <f t="shared" ref="K35:K58" si="19">(MIN(((TotalLaborHours-LaborHoursCarrots)+B35),OwnLaborHours)*OwnWageRate+MAX(((TotalLaborHours-LaborHoursCarrots)+B35)-OwnLaborHours,0)*TempWageRate)-(MIN(((TotalLaborHours-LaborHoursCarrots)+B34),OwnLaborHours)*OwnWageRate+MAX(((TotalLaborHours-LaborHoursCarrots)+B34)-OwnLaborHours,0)*TempWageRate)+FertilizerPerBedCarrots</f>
        <v>973.85416666667152</v>
      </c>
    </row>
    <row r="36" spans="1:11" x14ac:dyDescent="0.3">
      <c r="A36" s="2">
        <v>2</v>
      </c>
      <c r="B36" s="3">
        <f t="shared" si="10"/>
        <v>63.037499999999994</v>
      </c>
      <c r="C36" s="4">
        <f t="shared" si="11"/>
        <v>2188.802083333333</v>
      </c>
      <c r="D36" s="4">
        <f t="shared" si="12"/>
        <v>880</v>
      </c>
      <c r="E36" s="4">
        <f t="shared" si="13"/>
        <v>3068.802083333333</v>
      </c>
      <c r="F36" s="4">
        <f t="shared" si="15"/>
        <v>1561.0937499999998</v>
      </c>
      <c r="G36" s="4">
        <f t="shared" si="16"/>
        <v>1534.4010416666665</v>
      </c>
      <c r="H36" s="4">
        <f t="shared" si="17"/>
        <v>2094</v>
      </c>
      <c r="I36" s="4">
        <f t="shared" si="18"/>
        <v>532.90625000000023</v>
      </c>
      <c r="J36" s="4">
        <f t="shared" si="14"/>
        <v>-18880.802083333332</v>
      </c>
      <c r="K36" s="4">
        <f t="shared" si="19"/>
        <v>1000.546875</v>
      </c>
    </row>
    <row r="37" spans="1:11" x14ac:dyDescent="0.3">
      <c r="A37" s="2">
        <v>3</v>
      </c>
      <c r="B37" s="3">
        <f t="shared" si="10"/>
        <v>96.920156249999991</v>
      </c>
      <c r="C37" s="4">
        <f t="shared" si="11"/>
        <v>3365.2832031249995</v>
      </c>
      <c r="D37" s="4">
        <f t="shared" si="12"/>
        <v>1320</v>
      </c>
      <c r="E37" s="4">
        <f t="shared" si="13"/>
        <v>4685.283203125</v>
      </c>
      <c r="F37" s="4">
        <f t="shared" si="15"/>
        <v>1616.481119791667</v>
      </c>
      <c r="G37" s="4">
        <f t="shared" si="16"/>
        <v>1561.7610677083333</v>
      </c>
      <c r="H37" s="4">
        <f t="shared" si="17"/>
        <v>2094</v>
      </c>
      <c r="I37" s="4">
        <f t="shared" si="18"/>
        <v>477.51888020833303</v>
      </c>
      <c r="J37" s="4">
        <f t="shared" si="14"/>
        <v>-18403.283203125</v>
      </c>
      <c r="K37" s="4">
        <f t="shared" si="19"/>
        <v>1028.2405598958285</v>
      </c>
    </row>
    <row r="38" spans="1:11" x14ac:dyDescent="0.3">
      <c r="A38" s="2">
        <v>4</v>
      </c>
      <c r="B38" s="3">
        <f t="shared" si="10"/>
        <v>132.45754687499996</v>
      </c>
      <c r="C38" s="4">
        <f t="shared" si="11"/>
        <v>4599.2203776041652</v>
      </c>
      <c r="D38" s="4">
        <f t="shared" si="12"/>
        <v>1760</v>
      </c>
      <c r="E38" s="4">
        <f t="shared" si="13"/>
        <v>6359.2203776041652</v>
      </c>
      <c r="F38" s="4">
        <f t="shared" si="15"/>
        <v>1673.9371744791652</v>
      </c>
      <c r="G38" s="4">
        <f t="shared" si="16"/>
        <v>1589.8050944010413</v>
      </c>
      <c r="H38" s="4">
        <f t="shared" si="17"/>
        <v>2094</v>
      </c>
      <c r="I38" s="4">
        <f t="shared" si="18"/>
        <v>420.06282552083485</v>
      </c>
      <c r="J38" s="4">
        <f t="shared" si="14"/>
        <v>-17983.220377604164</v>
      </c>
      <c r="K38" s="4">
        <f t="shared" si="19"/>
        <v>1056.968587239593</v>
      </c>
    </row>
    <row r="39" spans="1:11" x14ac:dyDescent="0.3">
      <c r="A39" s="2">
        <v>5</v>
      </c>
      <c r="B39" s="3">
        <f t="shared" si="10"/>
        <v>169.71123193359369</v>
      </c>
      <c r="C39" s="4">
        <f t="shared" si="11"/>
        <v>5892.7511088053361</v>
      </c>
      <c r="D39" s="4">
        <f t="shared" si="12"/>
        <v>2200</v>
      </c>
      <c r="E39" s="4">
        <f t="shared" si="13"/>
        <v>8092.7511088053361</v>
      </c>
      <c r="F39" s="4">
        <f t="shared" si="15"/>
        <v>1733.530731201171</v>
      </c>
      <c r="G39" s="4">
        <f t="shared" si="16"/>
        <v>1618.5502217610672</v>
      </c>
      <c r="H39" s="4">
        <f t="shared" si="17"/>
        <v>2094</v>
      </c>
      <c r="I39" s="4">
        <f t="shared" si="18"/>
        <v>360.46926879882903</v>
      </c>
      <c r="J39" s="4">
        <f t="shared" si="14"/>
        <v>-17622.751108805336</v>
      </c>
      <c r="K39" s="4">
        <f t="shared" si="19"/>
        <v>1086.7653656005859</v>
      </c>
    </row>
    <row r="40" spans="1:11" x14ac:dyDescent="0.3">
      <c r="A40" s="2">
        <v>6</v>
      </c>
      <c r="B40" s="3">
        <f t="shared" si="10"/>
        <v>208.74481527832023</v>
      </c>
      <c r="C40" s="4">
        <f t="shared" si="11"/>
        <v>7248.0838638305631</v>
      </c>
      <c r="D40" s="4">
        <f t="shared" si="12"/>
        <v>2640</v>
      </c>
      <c r="E40" s="4">
        <f t="shared" si="13"/>
        <v>9888.0838638305631</v>
      </c>
      <c r="F40" s="4">
        <f t="shared" si="15"/>
        <v>1795.332755025227</v>
      </c>
      <c r="G40" s="4">
        <f t="shared" si="16"/>
        <v>1648.0139773050939</v>
      </c>
      <c r="H40" s="4">
        <f t="shared" si="17"/>
        <v>2094</v>
      </c>
      <c r="I40" s="4">
        <f t="shared" si="18"/>
        <v>298.66724497477298</v>
      </c>
      <c r="J40" s="4">
        <f t="shared" si="14"/>
        <v>-17324.083863830565</v>
      </c>
      <c r="K40" s="4">
        <f t="shared" si="19"/>
        <v>1117.6663775125926</v>
      </c>
    </row>
    <row r="41" spans="1:11" x14ac:dyDescent="0.3">
      <c r="A41" s="2">
        <v>7</v>
      </c>
      <c r="B41" s="3">
        <f t="shared" si="10"/>
        <v>249.62400827032465</v>
      </c>
      <c r="C41" s="4">
        <f t="shared" si="11"/>
        <v>8667.50028716405</v>
      </c>
      <c r="D41" s="4">
        <f t="shared" si="12"/>
        <v>3080</v>
      </c>
      <c r="E41" s="4">
        <f t="shared" si="13"/>
        <v>11747.50028716405</v>
      </c>
      <c r="F41" s="4">
        <f t="shared" si="15"/>
        <v>1859.4164233334868</v>
      </c>
      <c r="G41" s="4">
        <f t="shared" si="16"/>
        <v>1678.2143267377214</v>
      </c>
      <c r="H41" s="4">
        <f t="shared" si="17"/>
        <v>2094</v>
      </c>
      <c r="I41" s="4">
        <f t="shared" si="18"/>
        <v>234.58357666651318</v>
      </c>
      <c r="J41" s="4">
        <f t="shared" si="14"/>
        <v>-17089.50028716405</v>
      </c>
      <c r="K41" s="4">
        <f t="shared" si="19"/>
        <v>1149.7082116667443</v>
      </c>
    </row>
    <row r="42" spans="1:11" x14ac:dyDescent="0.3">
      <c r="A42" s="2">
        <v>8</v>
      </c>
      <c r="B42" s="3">
        <f t="shared" si="10"/>
        <v>292.41669540238024</v>
      </c>
      <c r="C42" s="4">
        <f t="shared" si="11"/>
        <v>10153.357479249315</v>
      </c>
      <c r="D42" s="4">
        <f t="shared" si="12"/>
        <v>3520</v>
      </c>
      <c r="E42" s="4">
        <f t="shared" si="13"/>
        <v>13673.357479249315</v>
      </c>
      <c r="F42" s="4">
        <f t="shared" si="15"/>
        <v>1925.8571920852646</v>
      </c>
      <c r="G42" s="4">
        <f t="shared" si="16"/>
        <v>1709.1696849061643</v>
      </c>
      <c r="H42" s="4">
        <f t="shared" si="17"/>
        <v>2094</v>
      </c>
      <c r="I42" s="4">
        <f t="shared" si="18"/>
        <v>168.14280791473539</v>
      </c>
      <c r="J42" s="4">
        <f t="shared" si="14"/>
        <v>-16921.357479249316</v>
      </c>
      <c r="K42" s="4">
        <f t="shared" si="19"/>
        <v>1182.9285960426496</v>
      </c>
    </row>
    <row r="43" spans="1:11" x14ac:dyDescent="0.3">
      <c r="A43" s="2">
        <v>9</v>
      </c>
      <c r="B43" s="3">
        <f t="shared" si="10"/>
        <v>337.19300188586965</v>
      </c>
      <c r="C43" s="4">
        <f t="shared" si="11"/>
        <v>11708.090343259362</v>
      </c>
      <c r="D43" s="4">
        <f t="shared" si="12"/>
        <v>3960</v>
      </c>
      <c r="E43" s="4">
        <f t="shared" si="13"/>
        <v>15668.090343259362</v>
      </c>
      <c r="F43" s="4">
        <f t="shared" si="15"/>
        <v>1994.7328640100477</v>
      </c>
      <c r="G43" s="4">
        <f t="shared" si="16"/>
        <v>1740.898927028818</v>
      </c>
      <c r="H43" s="4">
        <f t="shared" si="17"/>
        <v>2094</v>
      </c>
      <c r="I43" s="4">
        <f t="shared" si="18"/>
        <v>99.267135989952294</v>
      </c>
      <c r="J43" s="4">
        <f t="shared" si="14"/>
        <v>-16822.090343259362</v>
      </c>
      <c r="K43" s="4">
        <f t="shared" si="19"/>
        <v>1217.3664320050157</v>
      </c>
    </row>
    <row r="44" spans="1:11" x14ac:dyDescent="0.3">
      <c r="A44" s="2">
        <v>10</v>
      </c>
      <c r="B44" s="3">
        <f t="shared" si="10"/>
        <v>384.02536325890713</v>
      </c>
      <c r="C44" s="4">
        <f t="shared" si="11"/>
        <v>13334.214002045386</v>
      </c>
      <c r="D44" s="4">
        <f t="shared" si="12"/>
        <v>4400</v>
      </c>
      <c r="E44" s="4">
        <f t="shared" si="13"/>
        <v>17734.214002045388</v>
      </c>
      <c r="F44" s="4">
        <f t="shared" si="15"/>
        <v>2066.1236587860258</v>
      </c>
      <c r="G44" s="4">
        <f t="shared" si="16"/>
        <v>1773.4214002045387</v>
      </c>
      <c r="H44" s="4">
        <f t="shared" si="17"/>
        <v>2094</v>
      </c>
      <c r="I44" s="4">
        <f t="shared" si="18"/>
        <v>27.876341213974229</v>
      </c>
      <c r="J44" s="4">
        <f t="shared" si="14"/>
        <v>-16794.214002045388</v>
      </c>
      <c r="K44" s="4">
        <f t="shared" si="19"/>
        <v>1253.0618293930165</v>
      </c>
    </row>
    <row r="45" spans="1:11" x14ac:dyDescent="0.3">
      <c r="A45" s="2">
        <v>11</v>
      </c>
      <c r="B45" s="3">
        <f t="shared" si="10"/>
        <v>432.98859707441784</v>
      </c>
      <c r="C45" s="4">
        <f t="shared" si="11"/>
        <v>15034.326287306174</v>
      </c>
      <c r="D45" s="4">
        <f t="shared" si="12"/>
        <v>4840</v>
      </c>
      <c r="E45" s="4">
        <f t="shared" si="13"/>
        <v>19874.326287306176</v>
      </c>
      <c r="F45" s="4">
        <f t="shared" si="15"/>
        <v>2140.1122852607878</v>
      </c>
      <c r="G45" s="4">
        <f t="shared" si="16"/>
        <v>1806.7569352096523</v>
      </c>
      <c r="H45" s="4">
        <f t="shared" si="17"/>
        <v>2094</v>
      </c>
      <c r="I45" s="4">
        <f t="shared" si="18"/>
        <v>-46.112285260787758</v>
      </c>
      <c r="J45" s="4">
        <f t="shared" si="14"/>
        <v>-16840.326287306176</v>
      </c>
      <c r="K45" s="4">
        <f t="shared" si="19"/>
        <v>1290.0561426303902</v>
      </c>
    </row>
    <row r="46" spans="1:11" x14ac:dyDescent="0.3">
      <c r="A46" s="2">
        <v>12</v>
      </c>
      <c r="B46" s="3">
        <f t="shared" si="10"/>
        <v>484.15997672866712</v>
      </c>
      <c r="C46" s="4">
        <f t="shared" si="11"/>
        <v>16811.11030307872</v>
      </c>
      <c r="D46" s="4">
        <f t="shared" si="12"/>
        <v>5280</v>
      </c>
      <c r="E46" s="4">
        <f t="shared" si="13"/>
        <v>22091.11030307872</v>
      </c>
      <c r="F46" s="4">
        <f t="shared" si="15"/>
        <v>2216.7840157725441</v>
      </c>
      <c r="G46" s="4">
        <f t="shared" si="16"/>
        <v>1840.9258585898933</v>
      </c>
      <c r="H46" s="4">
        <f t="shared" si="17"/>
        <v>2094</v>
      </c>
      <c r="I46" s="4">
        <f t="shared" si="18"/>
        <v>-122.78401577254408</v>
      </c>
      <c r="J46" s="4">
        <f t="shared" si="14"/>
        <v>-16963.11030307872</v>
      </c>
      <c r="K46" s="4">
        <f t="shared" si="19"/>
        <v>1328.392007886272</v>
      </c>
    </row>
    <row r="47" spans="1:11" x14ac:dyDescent="0.3">
      <c r="A47" s="2">
        <v>13</v>
      </c>
      <c r="B47" s="3">
        <f t="shared" si="10"/>
        <v>537.61930749245744</v>
      </c>
      <c r="C47" s="4">
        <f t="shared" si="11"/>
        <v>18667.337065710326</v>
      </c>
      <c r="D47" s="4">
        <f t="shared" si="12"/>
        <v>5720</v>
      </c>
      <c r="E47" s="4">
        <f t="shared" si="13"/>
        <v>24387.337065710326</v>
      </c>
      <c r="F47" s="4">
        <f t="shared" si="15"/>
        <v>2296.2267626316061</v>
      </c>
      <c r="G47" s="4">
        <f t="shared" si="16"/>
        <v>1875.9490050546406</v>
      </c>
      <c r="H47" s="4">
        <f t="shared" si="17"/>
        <v>2094</v>
      </c>
      <c r="I47" s="4">
        <f t="shared" si="18"/>
        <v>-202.22676263160611</v>
      </c>
      <c r="J47" s="4">
        <f t="shared" si="14"/>
        <v>-17165.337065710326</v>
      </c>
      <c r="K47" s="4">
        <f t="shared" si="19"/>
        <v>1368.1133813158085</v>
      </c>
    </row>
    <row r="48" spans="1:11" x14ac:dyDescent="0.3">
      <c r="A48" s="2">
        <v>14</v>
      </c>
      <c r="B48" s="3">
        <f t="shared" si="10"/>
        <v>593.44900480898184</v>
      </c>
      <c r="C48" s="4">
        <f t="shared" si="11"/>
        <v>20605.868222534093</v>
      </c>
      <c r="D48" s="4">
        <f t="shared" si="12"/>
        <v>6160</v>
      </c>
      <c r="E48" s="4">
        <f t="shared" si="13"/>
        <v>26765.868222534093</v>
      </c>
      <c r="F48" s="4">
        <f t="shared" si="15"/>
        <v>2378.5311568237667</v>
      </c>
      <c r="G48" s="4">
        <f t="shared" si="16"/>
        <v>1911.8477301810067</v>
      </c>
      <c r="H48" s="4">
        <f t="shared" si="17"/>
        <v>2094</v>
      </c>
      <c r="I48" s="4">
        <f t="shared" si="18"/>
        <v>-284.53115682376665</v>
      </c>
      <c r="J48" s="4">
        <f t="shared" si="14"/>
        <v>-17449.868222534093</v>
      </c>
      <c r="K48" s="4">
        <f t="shared" si="19"/>
        <v>1409.2655784118833</v>
      </c>
    </row>
    <row r="49" spans="1:11" x14ac:dyDescent="0.3">
      <c r="A49" s="2">
        <v>15</v>
      </c>
      <c r="B49" s="3">
        <f t="shared" si="10"/>
        <v>651.73417492414967</v>
      </c>
      <c r="C49" s="4">
        <f t="shared" si="11"/>
        <v>22629.658851532975</v>
      </c>
      <c r="D49" s="4">
        <f t="shared" si="12"/>
        <v>6600</v>
      </c>
      <c r="E49" s="4">
        <f t="shared" si="13"/>
        <v>29229.658851532975</v>
      </c>
      <c r="F49" s="4">
        <f t="shared" si="15"/>
        <v>2463.7906289988823</v>
      </c>
      <c r="G49" s="4">
        <f t="shared" si="16"/>
        <v>1948.6439234355316</v>
      </c>
      <c r="H49" s="4">
        <f t="shared" si="17"/>
        <v>2094</v>
      </c>
      <c r="I49" s="4">
        <f t="shared" si="18"/>
        <v>-369.79062899888231</v>
      </c>
      <c r="J49" s="4">
        <f t="shared" si="14"/>
        <v>-17819.658851532975</v>
      </c>
      <c r="K49" s="4">
        <f t="shared" si="19"/>
        <v>1451.8953144994302</v>
      </c>
    </row>
    <row r="50" spans="1:11" x14ac:dyDescent="0.3">
      <c r="A50" s="2">
        <v>16</v>
      </c>
      <c r="B50" s="3">
        <f t="shared" si="10"/>
        <v>712.5626979170703</v>
      </c>
      <c r="C50" s="4">
        <f t="shared" si="11"/>
        <v>24741.760344342718</v>
      </c>
      <c r="D50" s="4">
        <f t="shared" si="12"/>
        <v>7040</v>
      </c>
      <c r="E50" s="4">
        <f t="shared" si="13"/>
        <v>31781.760344342718</v>
      </c>
      <c r="F50" s="4">
        <f t="shared" si="15"/>
        <v>2552.1014928097429</v>
      </c>
      <c r="G50" s="4">
        <f t="shared" si="16"/>
        <v>1986.3600215214199</v>
      </c>
      <c r="H50" s="4">
        <f t="shared" si="17"/>
        <v>2094</v>
      </c>
      <c r="I50" s="4">
        <f t="shared" si="18"/>
        <v>-458.10149280974292</v>
      </c>
      <c r="J50" s="4">
        <f t="shared" si="14"/>
        <v>-18277.760344342718</v>
      </c>
      <c r="K50" s="4">
        <f t="shared" si="19"/>
        <v>1496.0507464048715</v>
      </c>
    </row>
    <row r="51" spans="1:11" x14ac:dyDescent="0.3">
      <c r="A51" s="2">
        <v>17</v>
      </c>
      <c r="B51" s="3">
        <f t="shared" si="10"/>
        <v>776.02531320030937</v>
      </c>
      <c r="C51" s="4">
        <f t="shared" si="11"/>
        <v>25972.66168750537</v>
      </c>
      <c r="D51" s="4">
        <f t="shared" si="12"/>
        <v>7480</v>
      </c>
      <c r="E51" s="4">
        <f t="shared" si="13"/>
        <v>33452.661687505373</v>
      </c>
      <c r="F51" s="4">
        <f t="shared" si="15"/>
        <v>1670.9013431626554</v>
      </c>
      <c r="G51" s="4">
        <f t="shared" si="16"/>
        <v>1967.8036286767867</v>
      </c>
      <c r="H51" s="4">
        <f t="shared" si="17"/>
        <v>2094</v>
      </c>
      <c r="I51" s="4">
        <f t="shared" si="18"/>
        <v>423.09865683734461</v>
      </c>
      <c r="J51" s="4">
        <f t="shared" si="14"/>
        <v>-17854.661687505373</v>
      </c>
      <c r="K51" s="4">
        <f t="shared" si="19"/>
        <v>1541.7815153340198</v>
      </c>
    </row>
    <row r="52" spans="1:11" x14ac:dyDescent="0.3">
      <c r="A52" s="2">
        <v>18</v>
      </c>
      <c r="B52" s="3">
        <f t="shared" si="10"/>
        <v>842.2157075615122</v>
      </c>
      <c r="C52" s="4">
        <f t="shared" si="11"/>
        <v>27121.800478498477</v>
      </c>
      <c r="D52" s="4">
        <f t="shared" si="12"/>
        <v>7920</v>
      </c>
      <c r="E52" s="4">
        <f t="shared" si="13"/>
        <v>35041.800478498481</v>
      </c>
      <c r="F52" s="4">
        <f t="shared" si="15"/>
        <v>1589.1387909931072</v>
      </c>
      <c r="G52" s="4">
        <f t="shared" si="16"/>
        <v>1946.7666932499155</v>
      </c>
      <c r="H52" s="4">
        <f t="shared" si="17"/>
        <v>2094</v>
      </c>
      <c r="I52" s="4">
        <f t="shared" si="18"/>
        <v>504.86120900689275</v>
      </c>
      <c r="J52" s="4">
        <f t="shared" si="14"/>
        <v>-17349.800478498481</v>
      </c>
      <c r="K52" s="4">
        <f t="shared" si="19"/>
        <v>1589.1387909931072</v>
      </c>
    </row>
    <row r="53" spans="1:11" x14ac:dyDescent="0.3">
      <c r="A53" s="2">
        <v>19</v>
      </c>
      <c r="B53" s="3">
        <f t="shared" si="10"/>
        <v>911.23060582002495</v>
      </c>
      <c r="C53" s="4">
        <f t="shared" si="11"/>
        <v>28319.975795486545</v>
      </c>
      <c r="D53" s="4">
        <f t="shared" si="12"/>
        <v>8360</v>
      </c>
      <c r="E53" s="4">
        <f t="shared" si="13"/>
        <v>36679.975795486549</v>
      </c>
      <c r="F53" s="4">
        <f t="shared" si="15"/>
        <v>1638.1753169880685</v>
      </c>
      <c r="G53" s="4">
        <f t="shared" si="16"/>
        <v>1930.5250418677131</v>
      </c>
      <c r="H53" s="4">
        <f t="shared" si="17"/>
        <v>2094</v>
      </c>
      <c r="I53" s="4">
        <f t="shared" si="18"/>
        <v>455.82468301193148</v>
      </c>
      <c r="J53" s="4">
        <f t="shared" si="14"/>
        <v>-16893.975795486549</v>
      </c>
      <c r="K53" s="4">
        <f t="shared" si="19"/>
        <v>1638.175316988054</v>
      </c>
    </row>
    <row r="54" spans="1:11" x14ac:dyDescent="0.3">
      <c r="A54" s="2">
        <v>20</v>
      </c>
      <c r="B54" s="3">
        <f t="shared" si="10"/>
        <v>983.16986417423732</v>
      </c>
      <c r="C54" s="4">
        <f t="shared" si="11"/>
        <v>29568.921253024953</v>
      </c>
      <c r="D54" s="4">
        <f t="shared" si="12"/>
        <v>8800</v>
      </c>
      <c r="E54" s="4">
        <f t="shared" si="13"/>
        <v>38368.92125302495</v>
      </c>
      <c r="F54" s="4">
        <f t="shared" si="15"/>
        <v>1688.9454575384007</v>
      </c>
      <c r="G54" s="4">
        <f t="shared" si="16"/>
        <v>1918.4460626512475</v>
      </c>
      <c r="H54" s="4">
        <f t="shared" si="17"/>
        <v>2094</v>
      </c>
      <c r="I54" s="4">
        <f t="shared" si="18"/>
        <v>405.05454246159934</v>
      </c>
      <c r="J54" s="4">
        <f t="shared" si="14"/>
        <v>-16488.92125302495</v>
      </c>
      <c r="K54" s="4">
        <f t="shared" si="19"/>
        <v>1688.9454575384152</v>
      </c>
    </row>
    <row r="55" spans="1:11" x14ac:dyDescent="0.3">
      <c r="A55" s="12">
        <v>21</v>
      </c>
      <c r="B55" s="13">
        <f t="shared" si="10"/>
        <v>1058.1365663175229</v>
      </c>
      <c r="C55" s="14">
        <f t="shared" si="11"/>
        <v>30870.426498568107</v>
      </c>
      <c r="D55" s="14">
        <f t="shared" si="12"/>
        <v>9240</v>
      </c>
      <c r="E55" s="14">
        <f t="shared" si="13"/>
        <v>40110.426498568107</v>
      </c>
      <c r="F55" s="14">
        <f t="shared" si="15"/>
        <v>1741.5052455431578</v>
      </c>
      <c r="G55" s="14">
        <f t="shared" si="16"/>
        <v>1910.0203094556241</v>
      </c>
      <c r="H55" s="14">
        <f t="shared" si="17"/>
        <v>2094</v>
      </c>
      <c r="I55" s="14">
        <f t="shared" si="18"/>
        <v>352.4947544568422</v>
      </c>
      <c r="J55" s="14">
        <f t="shared" si="14"/>
        <v>-16136.426498568107</v>
      </c>
      <c r="K55" s="14">
        <f t="shared" si="19"/>
        <v>1741.5052455431578</v>
      </c>
    </row>
    <row r="56" spans="1:11" x14ac:dyDescent="0.3">
      <c r="A56" s="12">
        <v>22</v>
      </c>
      <c r="B56" s="13">
        <f t="shared" si="10"/>
        <v>1136.2371224028639</v>
      </c>
      <c r="C56" s="14">
        <f t="shared" si="11"/>
        <v>32226.338930605274</v>
      </c>
      <c r="D56" s="14">
        <f t="shared" si="12"/>
        <v>9680</v>
      </c>
      <c r="E56" s="14">
        <f t="shared" si="13"/>
        <v>41906.33893060527</v>
      </c>
      <c r="F56" s="14">
        <f t="shared" si="15"/>
        <v>1795.9124320371629</v>
      </c>
      <c r="G56" s="14">
        <f t="shared" si="16"/>
        <v>1904.833587754785</v>
      </c>
      <c r="H56" s="14">
        <f t="shared" si="17"/>
        <v>2094</v>
      </c>
      <c r="I56" s="14">
        <f t="shared" si="18"/>
        <v>298.08756796283706</v>
      </c>
      <c r="J56" s="14">
        <f t="shared" si="14"/>
        <v>-15838.33893060527</v>
      </c>
      <c r="K56" s="14">
        <f t="shared" si="19"/>
        <v>1795.9124320371629</v>
      </c>
    </row>
    <row r="57" spans="1:11" x14ac:dyDescent="0.3">
      <c r="A57" s="12">
        <v>23</v>
      </c>
      <c r="B57" s="13">
        <f t="shared" si="10"/>
        <v>1217.5813709385234</v>
      </c>
      <c r="C57" s="14">
        <f t="shared" si="11"/>
        <v>33638.565467682696</v>
      </c>
      <c r="D57" s="14">
        <f t="shared" si="12"/>
        <v>10120</v>
      </c>
      <c r="E57" s="14">
        <f t="shared" si="13"/>
        <v>43758.565467682696</v>
      </c>
      <c r="F57" s="14">
        <f t="shared" si="15"/>
        <v>1852.2265370774257</v>
      </c>
      <c r="G57" s="14">
        <f t="shared" si="16"/>
        <v>1902.5463246818563</v>
      </c>
      <c r="H57" s="14">
        <f t="shared" si="17"/>
        <v>2094</v>
      </c>
      <c r="I57" s="14">
        <f t="shared" si="18"/>
        <v>241.77346292257425</v>
      </c>
      <c r="J57" s="14">
        <f t="shared" si="14"/>
        <v>-15596.565467682696</v>
      </c>
      <c r="K57" s="14">
        <f t="shared" si="19"/>
        <v>1852.2265370774403</v>
      </c>
    </row>
    <row r="58" spans="1:11" x14ac:dyDescent="0.3">
      <c r="A58" s="12">
        <v>24</v>
      </c>
      <c r="B58" s="13">
        <f t="shared" si="10"/>
        <v>1302.2826836994641</v>
      </c>
      <c r="C58" s="14">
        <f t="shared" si="11"/>
        <v>35109.074369782364</v>
      </c>
      <c r="D58" s="14">
        <f t="shared" si="12"/>
        <v>10560</v>
      </c>
      <c r="E58" s="14">
        <f t="shared" si="13"/>
        <v>45669.074369782364</v>
      </c>
      <c r="F58" s="14">
        <f t="shared" si="15"/>
        <v>1910.5089020996675</v>
      </c>
      <c r="G58" s="14">
        <f t="shared" si="16"/>
        <v>1902.8780987409318</v>
      </c>
      <c r="H58" s="14">
        <f t="shared" si="17"/>
        <v>2094</v>
      </c>
      <c r="I58" s="14">
        <f t="shared" si="18"/>
        <v>183.49109790033253</v>
      </c>
      <c r="J58" s="14">
        <f t="shared" si="14"/>
        <v>-15413.074369782364</v>
      </c>
      <c r="K58" s="14">
        <f t="shared" si="19"/>
        <v>1910.5089020996675</v>
      </c>
    </row>
    <row r="61" spans="1:11" x14ac:dyDescent="0.3">
      <c r="A61" s="11" t="s">
        <v>45</v>
      </c>
    </row>
    <row r="62" spans="1:11" x14ac:dyDescent="0.3">
      <c r="A62" s="11" t="s">
        <v>82</v>
      </c>
      <c r="B62" s="11" t="s">
        <v>83</v>
      </c>
      <c r="C62" s="11" t="s">
        <v>69</v>
      </c>
      <c r="D62" s="11" t="s">
        <v>71</v>
      </c>
      <c r="E62" s="11" t="s">
        <v>84</v>
      </c>
      <c r="F62" s="11" t="s">
        <v>85</v>
      </c>
      <c r="G62" s="11" t="s">
        <v>86</v>
      </c>
      <c r="H62" s="11" t="s">
        <v>87</v>
      </c>
      <c r="I62" s="11" t="s">
        <v>88</v>
      </c>
      <c r="J62" s="11" t="s">
        <v>89</v>
      </c>
      <c r="K62" s="11" t="s">
        <v>90</v>
      </c>
    </row>
    <row r="63" spans="1:11" x14ac:dyDescent="0.3">
      <c r="A63" s="2">
        <v>0</v>
      </c>
      <c r="B63" s="3">
        <f t="shared" ref="B63:B97" si="20">A63*LaborHrsPerBedMesclun*SeasonWeeks*(1+DimReturnsMesclun)^A63</f>
        <v>0</v>
      </c>
      <c r="C63" s="4">
        <f t="shared" ref="C63:C97" si="21">MIN(B63,OwnLaborHours)*OwnWageRate+MAX(B63-OwnLaborHours,0)*TempWageRate</f>
        <v>0</v>
      </c>
      <c r="D63" s="4">
        <f t="shared" ref="D63:D97" si="22">A63*FertilizerPerBedMesclun</f>
        <v>0</v>
      </c>
      <c r="E63" s="4">
        <f t="shared" ref="E63:E97" si="23">C63+D63</f>
        <v>0</v>
      </c>
      <c r="J63" s="4">
        <f t="shared" ref="J63:J97" si="24">A63*RevenuePerBedMesclun-E63-FixedCosts</f>
        <v>-20000</v>
      </c>
    </row>
    <row r="64" spans="1:11" x14ac:dyDescent="0.3">
      <c r="A64" s="2">
        <v>1</v>
      </c>
      <c r="B64" s="3">
        <f t="shared" si="20"/>
        <v>45.5625</v>
      </c>
      <c r="C64" s="4">
        <f t="shared" si="21"/>
        <v>1582.03125</v>
      </c>
      <c r="D64" s="4">
        <f t="shared" si="22"/>
        <v>880</v>
      </c>
      <c r="E64" s="4">
        <f t="shared" si="23"/>
        <v>2462.03125</v>
      </c>
      <c r="F64" s="4">
        <f t="shared" ref="F64:F97" si="25">E64-E63</f>
        <v>2462.03125</v>
      </c>
      <c r="G64" s="4">
        <f t="shared" ref="G64:G97" si="26">E64/A64</f>
        <v>2462.03125</v>
      </c>
      <c r="H64" s="4">
        <f t="shared" ref="H64:H97" si="27">RevenuePerBedMesclun</f>
        <v>2700</v>
      </c>
      <c r="I64" s="4">
        <f t="shared" ref="I64:I97" si="28">H64-F64</f>
        <v>237.96875</v>
      </c>
      <c r="J64" s="4">
        <f t="shared" si="24"/>
        <v>-19762.03125</v>
      </c>
      <c r="K64" s="4">
        <f t="shared" ref="K64:K97" si="29">(MIN(((TotalLaborHours-LaborHoursMesclun)+B64),OwnLaborHours)*OwnWageRate+MAX(((TotalLaborHours-LaborHoursMesclun)+B64)-OwnLaborHours,0)*TempWageRate)-(MIN(((TotalLaborHours-LaborHoursMesclun)+B63),OwnLaborHours)*OwnWageRate+MAX(((TotalLaborHours-LaborHoursMesclun)+B63)-OwnLaborHours,0)*TempWageRate)+FertilizerPerBedMesclun</f>
        <v>1671.015625</v>
      </c>
    </row>
    <row r="65" spans="1:11" x14ac:dyDescent="0.3">
      <c r="A65" s="2">
        <v>2</v>
      </c>
      <c r="B65" s="3">
        <f t="shared" si="20"/>
        <v>92.264062499999994</v>
      </c>
      <c r="C65" s="4">
        <f t="shared" si="21"/>
        <v>3203.6132812499995</v>
      </c>
      <c r="D65" s="4">
        <f t="shared" si="22"/>
        <v>1760</v>
      </c>
      <c r="E65" s="4">
        <f t="shared" si="23"/>
        <v>4963.61328125</v>
      </c>
      <c r="F65" s="4">
        <f t="shared" si="25"/>
        <v>2501.58203125</v>
      </c>
      <c r="G65" s="4">
        <f t="shared" si="26"/>
        <v>2481.806640625</v>
      </c>
      <c r="H65" s="4">
        <f t="shared" si="27"/>
        <v>2700</v>
      </c>
      <c r="I65" s="4">
        <f t="shared" si="28"/>
        <v>198.41796875</v>
      </c>
      <c r="J65" s="4">
        <f t="shared" si="24"/>
        <v>-19563.61328125</v>
      </c>
      <c r="K65" s="4">
        <f t="shared" si="29"/>
        <v>1690.791015625</v>
      </c>
    </row>
    <row r="66" spans="1:11" x14ac:dyDescent="0.3">
      <c r="A66" s="2">
        <v>3</v>
      </c>
      <c r="B66" s="3">
        <f t="shared" si="20"/>
        <v>140.12604492187498</v>
      </c>
      <c r="C66" s="4">
        <f t="shared" si="21"/>
        <v>4865.4876708984366</v>
      </c>
      <c r="D66" s="4">
        <f t="shared" si="22"/>
        <v>2640</v>
      </c>
      <c r="E66" s="4">
        <f t="shared" si="23"/>
        <v>7505.4876708984366</v>
      </c>
      <c r="F66" s="4">
        <f t="shared" si="25"/>
        <v>2541.8743896484366</v>
      </c>
      <c r="G66" s="4">
        <f t="shared" si="26"/>
        <v>2501.829223632812</v>
      </c>
      <c r="H66" s="4">
        <f t="shared" si="27"/>
        <v>2700</v>
      </c>
      <c r="I66" s="4">
        <f t="shared" si="28"/>
        <v>158.12561035156341</v>
      </c>
      <c r="J66" s="4">
        <f t="shared" si="24"/>
        <v>-19405.487670898438</v>
      </c>
      <c r="K66" s="4">
        <f t="shared" si="29"/>
        <v>1710.9371948242188</v>
      </c>
    </row>
    <row r="67" spans="1:11" x14ac:dyDescent="0.3">
      <c r="A67" s="2">
        <v>4</v>
      </c>
      <c r="B67" s="3">
        <f t="shared" si="20"/>
        <v>189.17016064453125</v>
      </c>
      <c r="C67" s="4">
        <f t="shared" si="21"/>
        <v>6568.4083557128906</v>
      </c>
      <c r="D67" s="4">
        <f t="shared" si="22"/>
        <v>3520</v>
      </c>
      <c r="E67" s="4">
        <f t="shared" si="23"/>
        <v>10088.408355712891</v>
      </c>
      <c r="F67" s="4">
        <f t="shared" si="25"/>
        <v>2582.920684814454</v>
      </c>
      <c r="G67" s="4">
        <f t="shared" si="26"/>
        <v>2522.1020889282227</v>
      </c>
      <c r="H67" s="4">
        <f t="shared" si="27"/>
        <v>2700</v>
      </c>
      <c r="I67" s="4">
        <f t="shared" si="28"/>
        <v>117.07931518554597</v>
      </c>
      <c r="J67" s="4">
        <f t="shared" si="24"/>
        <v>-19288.408355712891</v>
      </c>
      <c r="K67" s="4">
        <f t="shared" si="29"/>
        <v>1731.4603424072266</v>
      </c>
    </row>
    <row r="68" spans="1:11" x14ac:dyDescent="0.3">
      <c r="A68" s="2">
        <v>5</v>
      </c>
      <c r="B68" s="3">
        <f t="shared" si="20"/>
        <v>239.41848456573481</v>
      </c>
      <c r="C68" s="4">
        <f t="shared" si="21"/>
        <v>8313.1418251991254</v>
      </c>
      <c r="D68" s="4">
        <f t="shared" si="22"/>
        <v>4400</v>
      </c>
      <c r="E68" s="4">
        <f t="shared" si="23"/>
        <v>12713.141825199125</v>
      </c>
      <c r="F68" s="4">
        <f t="shared" si="25"/>
        <v>2624.7334694862348</v>
      </c>
      <c r="G68" s="4">
        <f t="shared" si="26"/>
        <v>2542.628365039825</v>
      </c>
      <c r="H68" s="4">
        <f t="shared" si="27"/>
        <v>2700</v>
      </c>
      <c r="I68" s="4">
        <f t="shared" si="28"/>
        <v>75.266530513765247</v>
      </c>
      <c r="J68" s="4">
        <f t="shared" si="24"/>
        <v>-19213.141825199127</v>
      </c>
      <c r="K68" s="4">
        <f t="shared" si="29"/>
        <v>1752.3667347431183</v>
      </c>
    </row>
    <row r="69" spans="1:11" x14ac:dyDescent="0.3">
      <c r="A69" s="2">
        <v>6</v>
      </c>
      <c r="B69" s="3">
        <f t="shared" si="20"/>
        <v>290.89345874736784</v>
      </c>
      <c r="C69" s="4">
        <f t="shared" si="21"/>
        <v>10100.467317616938</v>
      </c>
      <c r="D69" s="4">
        <f t="shared" si="22"/>
        <v>5280</v>
      </c>
      <c r="E69" s="4">
        <f t="shared" si="23"/>
        <v>15380.467317616938</v>
      </c>
      <c r="F69" s="4">
        <f t="shared" si="25"/>
        <v>2667.3254924178127</v>
      </c>
      <c r="G69" s="4">
        <f t="shared" si="26"/>
        <v>2563.4112196028232</v>
      </c>
      <c r="H69" s="4">
        <f t="shared" si="27"/>
        <v>2700</v>
      </c>
      <c r="I69" s="4">
        <f t="shared" si="28"/>
        <v>32.674507582187289</v>
      </c>
      <c r="J69" s="4">
        <f t="shared" si="24"/>
        <v>-19180.467317616938</v>
      </c>
      <c r="K69" s="4">
        <f t="shared" si="29"/>
        <v>1773.6627462089091</v>
      </c>
    </row>
    <row r="70" spans="1:11" x14ac:dyDescent="0.3">
      <c r="A70" s="2">
        <v>7</v>
      </c>
      <c r="B70" s="3">
        <f t="shared" si="20"/>
        <v>343.61789814532818</v>
      </c>
      <c r="C70" s="4">
        <f t="shared" si="21"/>
        <v>11931.177018935006</v>
      </c>
      <c r="D70" s="4">
        <f t="shared" si="22"/>
        <v>6160</v>
      </c>
      <c r="E70" s="4">
        <f t="shared" si="23"/>
        <v>18091.177018935006</v>
      </c>
      <c r="F70" s="4">
        <f t="shared" si="25"/>
        <v>2710.7097013180683</v>
      </c>
      <c r="G70" s="4">
        <f t="shared" si="26"/>
        <v>2584.453859847858</v>
      </c>
      <c r="H70" s="4">
        <f t="shared" si="27"/>
        <v>2700</v>
      </c>
      <c r="I70" s="4">
        <f t="shared" si="28"/>
        <v>-10.709701318068255</v>
      </c>
      <c r="J70" s="4">
        <f t="shared" si="24"/>
        <v>-19191.177018935006</v>
      </c>
      <c r="K70" s="4">
        <f t="shared" si="29"/>
        <v>1795.3548506590305</v>
      </c>
    </row>
    <row r="71" spans="1:11" x14ac:dyDescent="0.3">
      <c r="A71" s="2">
        <v>8</v>
      </c>
      <c r="B71" s="3">
        <f t="shared" si="20"/>
        <v>397.61499642530839</v>
      </c>
      <c r="C71" s="4">
        <f t="shared" si="21"/>
        <v>13806.076264767653</v>
      </c>
      <c r="D71" s="4">
        <f t="shared" si="22"/>
        <v>7040</v>
      </c>
      <c r="E71" s="4">
        <f t="shared" si="23"/>
        <v>20846.076264767653</v>
      </c>
      <c r="F71" s="4">
        <f t="shared" si="25"/>
        <v>2754.8992458326466</v>
      </c>
      <c r="G71" s="4">
        <f t="shared" si="26"/>
        <v>2605.7595330959566</v>
      </c>
      <c r="H71" s="4">
        <f t="shared" si="27"/>
        <v>2700</v>
      </c>
      <c r="I71" s="4">
        <f t="shared" si="28"/>
        <v>-54.899245832646557</v>
      </c>
      <c r="J71" s="4">
        <f t="shared" si="24"/>
        <v>-19246.076264767653</v>
      </c>
      <c r="K71" s="4">
        <f t="shared" si="29"/>
        <v>1817.4496229163196</v>
      </c>
    </row>
    <row r="72" spans="1:11" x14ac:dyDescent="0.3">
      <c r="A72" s="2">
        <v>9</v>
      </c>
      <c r="B72" s="3">
        <f t="shared" si="20"/>
        <v>452.90833186570285</v>
      </c>
      <c r="C72" s="4">
        <f t="shared" si="21"/>
        <v>15725.983745336904</v>
      </c>
      <c r="D72" s="4">
        <f t="shared" si="22"/>
        <v>7920</v>
      </c>
      <c r="E72" s="4">
        <f t="shared" si="23"/>
        <v>23645.983745336904</v>
      </c>
      <c r="F72" s="4">
        <f t="shared" si="25"/>
        <v>2799.9074805692508</v>
      </c>
      <c r="G72" s="4">
        <f t="shared" si="26"/>
        <v>2627.331527259656</v>
      </c>
      <c r="H72" s="4">
        <f t="shared" si="27"/>
        <v>2700</v>
      </c>
      <c r="I72" s="4">
        <f t="shared" si="28"/>
        <v>-99.907480569250765</v>
      </c>
      <c r="J72" s="4">
        <f t="shared" si="24"/>
        <v>-19345.983745336904</v>
      </c>
      <c r="K72" s="4">
        <f t="shared" si="29"/>
        <v>1839.9537402846327</v>
      </c>
    </row>
    <row r="73" spans="1:11" x14ac:dyDescent="0.3">
      <c r="A73" s="2">
        <v>10</v>
      </c>
      <c r="B73" s="3">
        <f t="shared" si="20"/>
        <v>509.52187334891573</v>
      </c>
      <c r="C73" s="4">
        <f t="shared" si="21"/>
        <v>17691.731713504018</v>
      </c>
      <c r="D73" s="4">
        <f t="shared" si="22"/>
        <v>8800</v>
      </c>
      <c r="E73" s="4">
        <f t="shared" si="23"/>
        <v>26491.731713504018</v>
      </c>
      <c r="F73" s="4">
        <f t="shared" si="25"/>
        <v>2845.7479681671139</v>
      </c>
      <c r="G73" s="4">
        <f t="shared" si="26"/>
        <v>2649.1731713504018</v>
      </c>
      <c r="H73" s="4">
        <f t="shared" si="27"/>
        <v>2700</v>
      </c>
      <c r="I73" s="4">
        <f t="shared" si="28"/>
        <v>-145.74796816711387</v>
      </c>
      <c r="J73" s="4">
        <f t="shared" si="24"/>
        <v>-19491.731713504018</v>
      </c>
      <c r="K73" s="4">
        <f t="shared" si="29"/>
        <v>1862.8739840835478</v>
      </c>
    </row>
    <row r="74" spans="1:11" x14ac:dyDescent="0.3">
      <c r="A74" s="2">
        <v>11</v>
      </c>
      <c r="B74" s="3">
        <f t="shared" si="20"/>
        <v>567.47998644235474</v>
      </c>
      <c r="C74" s="4">
        <f t="shared" si="21"/>
        <v>19704.166195915095</v>
      </c>
      <c r="D74" s="4">
        <f t="shared" si="22"/>
        <v>9680</v>
      </c>
      <c r="E74" s="4">
        <f t="shared" si="23"/>
        <v>29384.166195915095</v>
      </c>
      <c r="F74" s="4">
        <f t="shared" si="25"/>
        <v>2892.4344824110776</v>
      </c>
      <c r="G74" s="4">
        <f t="shared" si="26"/>
        <v>2671.2878359922815</v>
      </c>
      <c r="H74" s="4">
        <f t="shared" si="27"/>
        <v>2700</v>
      </c>
      <c r="I74" s="4">
        <f t="shared" si="28"/>
        <v>-192.43448241107762</v>
      </c>
      <c r="J74" s="4">
        <f t="shared" si="24"/>
        <v>-19684.166195915095</v>
      </c>
      <c r="K74" s="4">
        <f t="shared" si="29"/>
        <v>1886.2172412055515</v>
      </c>
    </row>
    <row r="75" spans="1:11" x14ac:dyDescent="0.3">
      <c r="A75" s="2">
        <v>12</v>
      </c>
      <c r="B75" s="3">
        <f t="shared" si="20"/>
        <v>626.80743957041921</v>
      </c>
      <c r="C75" s="4">
        <f t="shared" si="21"/>
        <v>21764.147207306221</v>
      </c>
      <c r="D75" s="4">
        <f t="shared" si="22"/>
        <v>10560</v>
      </c>
      <c r="E75" s="4">
        <f t="shared" si="23"/>
        <v>32324.147207306221</v>
      </c>
      <c r="F75" s="4">
        <f t="shared" si="25"/>
        <v>2939.9810113911262</v>
      </c>
      <c r="G75" s="4">
        <f t="shared" si="26"/>
        <v>2693.6789339421853</v>
      </c>
      <c r="H75" s="4">
        <f t="shared" si="27"/>
        <v>2700</v>
      </c>
      <c r="I75" s="4">
        <f t="shared" si="28"/>
        <v>-239.98101139112623</v>
      </c>
      <c r="J75" s="4">
        <f t="shared" si="24"/>
        <v>-19924.147207306221</v>
      </c>
      <c r="K75" s="4">
        <f t="shared" si="29"/>
        <v>1909.9905056955613</v>
      </c>
    </row>
    <row r="76" spans="1:11" x14ac:dyDescent="0.3">
      <c r="A76" s="2">
        <v>13</v>
      </c>
      <c r="B76" s="3">
        <f t="shared" si="20"/>
        <v>687.52941027880343</v>
      </c>
      <c r="C76" s="4">
        <f t="shared" si="21"/>
        <v>23872.548968014009</v>
      </c>
      <c r="D76" s="4">
        <f t="shared" si="22"/>
        <v>11440</v>
      </c>
      <c r="E76" s="4">
        <f t="shared" si="23"/>
        <v>35312.548968014009</v>
      </c>
      <c r="F76" s="4">
        <f t="shared" si="25"/>
        <v>2988.4017607077876</v>
      </c>
      <c r="G76" s="4">
        <f t="shared" si="26"/>
        <v>2716.3499206164624</v>
      </c>
      <c r="H76" s="4">
        <f t="shared" si="27"/>
        <v>2700</v>
      </c>
      <c r="I76" s="4">
        <f t="shared" si="28"/>
        <v>-288.40176070778762</v>
      </c>
      <c r="J76" s="4">
        <f t="shared" si="24"/>
        <v>-20212.548968014009</v>
      </c>
      <c r="K76" s="4">
        <f t="shared" si="29"/>
        <v>1934.200880353892</v>
      </c>
    </row>
    <row r="77" spans="1:11" x14ac:dyDescent="0.3">
      <c r="A77" s="2">
        <v>14</v>
      </c>
      <c r="B77" s="3">
        <f t="shared" si="20"/>
        <v>749.67149159246469</v>
      </c>
      <c r="C77" s="4">
        <f t="shared" si="21"/>
        <v>25515.130062369179</v>
      </c>
      <c r="D77" s="4">
        <f t="shared" si="22"/>
        <v>12320</v>
      </c>
      <c r="E77" s="4">
        <f t="shared" si="23"/>
        <v>37835.130062369179</v>
      </c>
      <c r="F77" s="4">
        <f t="shared" si="25"/>
        <v>2522.5810943551696</v>
      </c>
      <c r="G77" s="4">
        <f t="shared" si="26"/>
        <v>2702.5092901692269</v>
      </c>
      <c r="H77" s="4">
        <f t="shared" si="27"/>
        <v>2700</v>
      </c>
      <c r="I77" s="4">
        <f t="shared" si="28"/>
        <v>177.41890564483037</v>
      </c>
      <c r="J77" s="4">
        <f t="shared" si="24"/>
        <v>-20035.130062369179</v>
      </c>
      <c r="K77" s="4">
        <f t="shared" si="29"/>
        <v>1958.8555783621705</v>
      </c>
    </row>
    <row r="78" spans="1:11" x14ac:dyDescent="0.3">
      <c r="A78" s="2">
        <v>15</v>
      </c>
      <c r="B78" s="3">
        <f t="shared" si="20"/>
        <v>813.25969846861108</v>
      </c>
      <c r="C78" s="4">
        <f t="shared" si="21"/>
        <v>26619.091987302276</v>
      </c>
      <c r="D78" s="4">
        <f t="shared" si="22"/>
        <v>13200</v>
      </c>
      <c r="E78" s="4">
        <f t="shared" si="23"/>
        <v>39819.091987302279</v>
      </c>
      <c r="F78" s="4">
        <f t="shared" si="25"/>
        <v>1983.9619249331008</v>
      </c>
      <c r="G78" s="4">
        <f t="shared" si="26"/>
        <v>2654.6061324868188</v>
      </c>
      <c r="H78" s="4">
        <f t="shared" si="27"/>
        <v>2700</v>
      </c>
      <c r="I78" s="4">
        <f t="shared" si="28"/>
        <v>716.03807506689918</v>
      </c>
      <c r="J78" s="4">
        <f t="shared" si="24"/>
        <v>-19319.091987302279</v>
      </c>
      <c r="K78" s="4">
        <f t="shared" si="29"/>
        <v>1983.9619249331008</v>
      </c>
    </row>
    <row r="79" spans="1:11" x14ac:dyDescent="0.3">
      <c r="A79" s="2">
        <v>16</v>
      </c>
      <c r="B79" s="3">
        <f t="shared" si="20"/>
        <v>878.32047434610013</v>
      </c>
      <c r="C79" s="4">
        <f t="shared" si="21"/>
        <v>27748.619346286461</v>
      </c>
      <c r="D79" s="4">
        <f t="shared" si="22"/>
        <v>14080</v>
      </c>
      <c r="E79" s="4">
        <f t="shared" si="23"/>
        <v>41828.619346286461</v>
      </c>
      <c r="F79" s="4">
        <f t="shared" si="25"/>
        <v>2009.5273589841818</v>
      </c>
      <c r="G79" s="4">
        <f t="shared" si="26"/>
        <v>2614.2887091429038</v>
      </c>
      <c r="H79" s="4">
        <f t="shared" si="27"/>
        <v>2700</v>
      </c>
      <c r="I79" s="4">
        <f t="shared" si="28"/>
        <v>690.47264101581823</v>
      </c>
      <c r="J79" s="4">
        <f t="shared" si="24"/>
        <v>-18628.619346286461</v>
      </c>
      <c r="K79" s="4">
        <f t="shared" si="29"/>
        <v>2009.5273589841818</v>
      </c>
    </row>
    <row r="80" spans="1:11" x14ac:dyDescent="0.3">
      <c r="A80" s="2">
        <v>17</v>
      </c>
      <c r="B80" s="3">
        <f t="shared" si="20"/>
        <v>944.88069779264049</v>
      </c>
      <c r="C80" s="4">
        <f t="shared" si="21"/>
        <v>28904.178781122231</v>
      </c>
      <c r="D80" s="4">
        <f t="shared" si="22"/>
        <v>14960</v>
      </c>
      <c r="E80" s="4">
        <f t="shared" si="23"/>
        <v>43864.178781122231</v>
      </c>
      <c r="F80" s="4">
        <f t="shared" si="25"/>
        <v>2035.5594348357699</v>
      </c>
      <c r="G80" s="4">
        <f t="shared" si="26"/>
        <v>2580.245810654249</v>
      </c>
      <c r="H80" s="4">
        <f t="shared" si="27"/>
        <v>2700</v>
      </c>
      <c r="I80" s="4">
        <f t="shared" si="28"/>
        <v>664.44056516423007</v>
      </c>
      <c r="J80" s="4">
        <f t="shared" si="24"/>
        <v>-17964.178781122231</v>
      </c>
      <c r="K80" s="4">
        <f t="shared" si="29"/>
        <v>2035.5594348357699</v>
      </c>
    </row>
    <row r="81" spans="1:11" x14ac:dyDescent="0.3">
      <c r="A81" s="2">
        <v>18</v>
      </c>
      <c r="B81" s="3">
        <f t="shared" si="20"/>
        <v>1012.9676892512279</v>
      </c>
      <c r="C81" s="4">
        <f t="shared" si="21"/>
        <v>30086.244605056039</v>
      </c>
      <c r="D81" s="4">
        <f t="shared" si="22"/>
        <v>15840</v>
      </c>
      <c r="E81" s="4">
        <f t="shared" si="23"/>
        <v>45926.244605056039</v>
      </c>
      <c r="F81" s="4">
        <f t="shared" si="25"/>
        <v>2062.0658239338081</v>
      </c>
      <c r="G81" s="4">
        <f t="shared" si="26"/>
        <v>2551.4580336142244</v>
      </c>
      <c r="H81" s="4">
        <f t="shared" si="27"/>
        <v>2700</v>
      </c>
      <c r="I81" s="4">
        <f t="shared" si="28"/>
        <v>637.93417606619187</v>
      </c>
      <c r="J81" s="4">
        <f t="shared" si="24"/>
        <v>-17326.244605056039</v>
      </c>
      <c r="K81" s="4">
        <f t="shared" si="29"/>
        <v>2062.0658239338081</v>
      </c>
    </row>
    <row r="82" spans="1:11" x14ac:dyDescent="0.3">
      <c r="A82" s="2">
        <v>19</v>
      </c>
      <c r="B82" s="3">
        <f t="shared" si="20"/>
        <v>1082.6092178872495</v>
      </c>
      <c r="C82" s="4">
        <f t="shared" si="21"/>
        <v>31295.298921653637</v>
      </c>
      <c r="D82" s="4">
        <f t="shared" si="22"/>
        <v>16720</v>
      </c>
      <c r="E82" s="4">
        <f t="shared" si="23"/>
        <v>48015.298921653637</v>
      </c>
      <c r="F82" s="4">
        <f t="shared" si="25"/>
        <v>2089.0543165975978</v>
      </c>
      <c r="G82" s="4">
        <f t="shared" si="26"/>
        <v>2527.1209958765071</v>
      </c>
      <c r="H82" s="4">
        <f t="shared" si="27"/>
        <v>2700</v>
      </c>
      <c r="I82" s="4">
        <f t="shared" si="28"/>
        <v>610.94568340240221</v>
      </c>
      <c r="J82" s="4">
        <f t="shared" si="24"/>
        <v>-16715.298921653637</v>
      </c>
      <c r="K82" s="4">
        <f t="shared" si="29"/>
        <v>2089.0543165975978</v>
      </c>
    </row>
    <row r="83" spans="1:11" x14ac:dyDescent="0.3">
      <c r="A83" s="2">
        <v>20</v>
      </c>
      <c r="B83" s="3">
        <f t="shared" si="20"/>
        <v>1153.8335085377266</v>
      </c>
      <c r="C83" s="4">
        <f t="shared" si="21"/>
        <v>32531.831745446641</v>
      </c>
      <c r="D83" s="4">
        <f t="shared" si="22"/>
        <v>17600</v>
      </c>
      <c r="E83" s="4">
        <f t="shared" si="23"/>
        <v>50131.831745446645</v>
      </c>
      <c r="F83" s="4">
        <f t="shared" si="25"/>
        <v>2116.532823793008</v>
      </c>
      <c r="G83" s="4">
        <f t="shared" si="26"/>
        <v>2506.5915872723322</v>
      </c>
      <c r="H83" s="4">
        <f t="shared" si="27"/>
        <v>2700</v>
      </c>
      <c r="I83" s="4">
        <f t="shared" si="28"/>
        <v>583.46717620699201</v>
      </c>
      <c r="J83" s="4">
        <f t="shared" si="24"/>
        <v>-16131.831745446645</v>
      </c>
      <c r="K83" s="4">
        <f t="shared" si="29"/>
        <v>2116.532823793008</v>
      </c>
    </row>
    <row r="84" spans="1:11" x14ac:dyDescent="0.3">
      <c r="A84" s="2">
        <v>21</v>
      </c>
      <c r="B84" s="3">
        <f t="shared" si="20"/>
        <v>1226.6692487641703</v>
      </c>
      <c r="C84" s="4">
        <f t="shared" si="21"/>
        <v>33796.341124377956</v>
      </c>
      <c r="D84" s="4">
        <f t="shared" si="22"/>
        <v>18480</v>
      </c>
      <c r="E84" s="4">
        <f t="shared" si="23"/>
        <v>52276.341124377956</v>
      </c>
      <c r="F84" s="4">
        <f t="shared" si="25"/>
        <v>2144.5093789313105</v>
      </c>
      <c r="G84" s="4">
        <f t="shared" si="26"/>
        <v>2489.3495773513314</v>
      </c>
      <c r="H84" s="4">
        <f t="shared" si="27"/>
        <v>2700</v>
      </c>
      <c r="I84" s="4">
        <f t="shared" si="28"/>
        <v>555.49062106868951</v>
      </c>
      <c r="J84" s="4">
        <f t="shared" si="24"/>
        <v>-15576.341124377956</v>
      </c>
      <c r="K84" s="4">
        <f t="shared" si="29"/>
        <v>2144.5093789313105</v>
      </c>
    </row>
    <row r="85" spans="1:11" x14ac:dyDescent="0.3">
      <c r="A85" s="2">
        <v>22</v>
      </c>
      <c r="B85" s="3">
        <f t="shared" si="20"/>
        <v>1301.1455960105666</v>
      </c>
      <c r="C85" s="4">
        <f t="shared" si="21"/>
        <v>35089.333264072338</v>
      </c>
      <c r="D85" s="4">
        <f t="shared" si="22"/>
        <v>19360</v>
      </c>
      <c r="E85" s="4">
        <f t="shared" si="23"/>
        <v>54449.333264072338</v>
      </c>
      <c r="F85" s="4">
        <f t="shared" si="25"/>
        <v>2172.9921396943828</v>
      </c>
      <c r="G85" s="4">
        <f t="shared" si="26"/>
        <v>2474.9696938214697</v>
      </c>
      <c r="H85" s="4">
        <f t="shared" si="27"/>
        <v>2700</v>
      </c>
      <c r="I85" s="4">
        <f t="shared" si="28"/>
        <v>527.00786030561721</v>
      </c>
      <c r="J85" s="4">
        <f t="shared" si="24"/>
        <v>-15049.333264072338</v>
      </c>
      <c r="K85" s="4">
        <f t="shared" si="29"/>
        <v>2172.9921396943828</v>
      </c>
    </row>
    <row r="86" spans="1:11" x14ac:dyDescent="0.3">
      <c r="A86" s="2">
        <v>23</v>
      </c>
      <c r="B86" s="3">
        <f t="shared" si="20"/>
        <v>1377.292184868003</v>
      </c>
      <c r="C86" s="4">
        <f t="shared" si="21"/>
        <v>36411.322653958385</v>
      </c>
      <c r="D86" s="4">
        <f t="shared" si="22"/>
        <v>20240</v>
      </c>
      <c r="E86" s="4">
        <f t="shared" si="23"/>
        <v>56651.322653958385</v>
      </c>
      <c r="F86" s="4">
        <f t="shared" si="25"/>
        <v>2201.9893898860464</v>
      </c>
      <c r="G86" s="4">
        <f t="shared" si="26"/>
        <v>2463.1009849547122</v>
      </c>
      <c r="H86" s="4">
        <f t="shared" si="27"/>
        <v>2700</v>
      </c>
      <c r="I86" s="4">
        <f t="shared" si="28"/>
        <v>498.01061011395359</v>
      </c>
      <c r="J86" s="4">
        <f t="shared" si="24"/>
        <v>-14551.322653958385</v>
      </c>
      <c r="K86" s="4">
        <f t="shared" si="29"/>
        <v>2201.989389886061</v>
      </c>
    </row>
    <row r="87" spans="1:11" x14ac:dyDescent="0.3">
      <c r="A87" s="2">
        <v>24</v>
      </c>
      <c r="B87" s="3">
        <f t="shared" si="20"/>
        <v>1455.1391344474989</v>
      </c>
      <c r="C87" s="4">
        <f t="shared" si="21"/>
        <v>37762.832195269075</v>
      </c>
      <c r="D87" s="4">
        <f t="shared" si="22"/>
        <v>21120</v>
      </c>
      <c r="E87" s="4">
        <f t="shared" si="23"/>
        <v>58882.832195269075</v>
      </c>
      <c r="F87" s="4">
        <f t="shared" si="25"/>
        <v>2231.5095413106901</v>
      </c>
      <c r="G87" s="4">
        <f t="shared" si="26"/>
        <v>2453.4513414695448</v>
      </c>
      <c r="H87" s="4">
        <f t="shared" si="27"/>
        <v>2700</v>
      </c>
      <c r="I87" s="4">
        <f t="shared" si="28"/>
        <v>468.49045868930989</v>
      </c>
      <c r="J87" s="4">
        <f t="shared" si="24"/>
        <v>-14082.832195269075</v>
      </c>
      <c r="K87" s="4">
        <f t="shared" si="29"/>
        <v>2231.5095413106756</v>
      </c>
    </row>
    <row r="88" spans="1:11" x14ac:dyDescent="0.3">
      <c r="A88" s="2">
        <v>25</v>
      </c>
      <c r="B88" s="3">
        <f t="shared" si="20"/>
        <v>1534.7170558625965</v>
      </c>
      <c r="C88" s="4">
        <f t="shared" si="21"/>
        <v>39144.393330947853</v>
      </c>
      <c r="D88" s="4">
        <f t="shared" si="22"/>
        <v>22000</v>
      </c>
      <c r="E88" s="4">
        <f t="shared" si="23"/>
        <v>61144.393330947853</v>
      </c>
      <c r="F88" s="4">
        <f t="shared" si="25"/>
        <v>2261.5611356787776</v>
      </c>
      <c r="G88" s="4">
        <f t="shared" si="26"/>
        <v>2445.7757332379142</v>
      </c>
      <c r="H88" s="4">
        <f t="shared" si="27"/>
        <v>2700</v>
      </c>
      <c r="I88" s="4">
        <f t="shared" si="28"/>
        <v>438.43886432122235</v>
      </c>
      <c r="J88" s="4">
        <f t="shared" si="24"/>
        <v>-13644.393330947853</v>
      </c>
      <c r="K88" s="4">
        <f t="shared" si="29"/>
        <v>2261.5611356787849</v>
      </c>
    </row>
    <row r="89" spans="1:11" x14ac:dyDescent="0.3">
      <c r="A89" s="2">
        <v>26</v>
      </c>
      <c r="B89" s="3">
        <f t="shared" si="20"/>
        <v>1616.0570598233144</v>
      </c>
      <c r="C89" s="4">
        <f t="shared" si="21"/>
        <v>40556.546177488097</v>
      </c>
      <c r="D89" s="4">
        <f t="shared" si="22"/>
        <v>22880</v>
      </c>
      <c r="E89" s="4">
        <f t="shared" si="23"/>
        <v>63436.546177488097</v>
      </c>
      <c r="F89" s="4">
        <f t="shared" si="25"/>
        <v>2292.1528465402444</v>
      </c>
      <c r="G89" s="4">
        <f t="shared" si="26"/>
        <v>2439.8671606726193</v>
      </c>
      <c r="H89" s="4">
        <f t="shared" si="27"/>
        <v>2700</v>
      </c>
      <c r="I89" s="4">
        <f t="shared" si="28"/>
        <v>407.84715345975565</v>
      </c>
      <c r="J89" s="4">
        <f t="shared" si="24"/>
        <v>-13236.546177488097</v>
      </c>
      <c r="K89" s="4">
        <f t="shared" si="29"/>
        <v>2292.1528465402371</v>
      </c>
    </row>
    <row r="90" spans="1:11" x14ac:dyDescent="0.3">
      <c r="A90" s="2">
        <v>27</v>
      </c>
      <c r="B90" s="3">
        <f t="shared" si="20"/>
        <v>1699.1907643430709</v>
      </c>
      <c r="C90" s="4">
        <f t="shared" si="21"/>
        <v>41999.839658733865</v>
      </c>
      <c r="D90" s="4">
        <f t="shared" si="22"/>
        <v>23760</v>
      </c>
      <c r="E90" s="4">
        <f t="shared" si="23"/>
        <v>65759.839658733865</v>
      </c>
      <c r="F90" s="4">
        <f t="shared" si="25"/>
        <v>2323.2934812457679</v>
      </c>
      <c r="G90" s="4">
        <f t="shared" si="26"/>
        <v>2435.549616990143</v>
      </c>
      <c r="H90" s="4">
        <f t="shared" si="27"/>
        <v>2700</v>
      </c>
      <c r="I90" s="4">
        <f t="shared" si="28"/>
        <v>376.70651875423209</v>
      </c>
      <c r="J90" s="4">
        <f t="shared" si="24"/>
        <v>-12859.839658733865</v>
      </c>
      <c r="K90" s="4">
        <f t="shared" si="29"/>
        <v>2323.2934812457825</v>
      </c>
    </row>
    <row r="91" spans="1:11" x14ac:dyDescent="0.3">
      <c r="A91" s="2">
        <v>28</v>
      </c>
      <c r="B91" s="3">
        <f t="shared" si="20"/>
        <v>1784.1503025602246</v>
      </c>
      <c r="C91" s="4">
        <f t="shared" si="21"/>
        <v>43474.831641670564</v>
      </c>
      <c r="D91" s="4">
        <f t="shared" si="22"/>
        <v>24640</v>
      </c>
      <c r="E91" s="4">
        <f t="shared" si="23"/>
        <v>68114.831641670564</v>
      </c>
      <c r="F91" s="4">
        <f t="shared" si="25"/>
        <v>2354.9919829366991</v>
      </c>
      <c r="G91" s="4">
        <f t="shared" si="26"/>
        <v>2432.6725586310918</v>
      </c>
      <c r="H91" s="4">
        <f t="shared" si="27"/>
        <v>2700</v>
      </c>
      <c r="I91" s="4">
        <f t="shared" si="28"/>
        <v>345.00801706330094</v>
      </c>
      <c r="J91" s="4">
        <f t="shared" si="24"/>
        <v>-12514.831641670564</v>
      </c>
      <c r="K91" s="4">
        <f t="shared" si="29"/>
        <v>2354.9919829366991</v>
      </c>
    </row>
    <row r="92" spans="1:11" x14ac:dyDescent="0.3">
      <c r="A92" s="2">
        <v>29</v>
      </c>
      <c r="B92" s="3">
        <f t="shared" si="20"/>
        <v>1870.9683306758782</v>
      </c>
      <c r="C92" s="4">
        <f t="shared" si="21"/>
        <v>44982.089074233998</v>
      </c>
      <c r="D92" s="4">
        <f t="shared" si="22"/>
        <v>25520</v>
      </c>
      <c r="E92" s="4">
        <f t="shared" si="23"/>
        <v>70502.089074233998</v>
      </c>
      <c r="F92" s="4">
        <f t="shared" si="25"/>
        <v>2387.2574325634341</v>
      </c>
      <c r="G92" s="4">
        <f t="shared" si="26"/>
        <v>2431.1065198011725</v>
      </c>
      <c r="H92" s="4">
        <f t="shared" si="27"/>
        <v>2700</v>
      </c>
      <c r="I92" s="4">
        <f t="shared" si="28"/>
        <v>312.74256743656588</v>
      </c>
      <c r="J92" s="4">
        <f t="shared" si="24"/>
        <v>-12202.089074233998</v>
      </c>
      <c r="K92" s="4">
        <f t="shared" si="29"/>
        <v>2387.2574325634196</v>
      </c>
    </row>
    <row r="93" spans="1:11" x14ac:dyDescent="0.3">
      <c r="A93" s="2">
        <v>30</v>
      </c>
      <c r="B93" s="3">
        <f t="shared" si="20"/>
        <v>1959.6780360096488</v>
      </c>
      <c r="C93" s="4">
        <f t="shared" si="21"/>
        <v>46522.188125167515</v>
      </c>
      <c r="D93" s="4">
        <f t="shared" si="22"/>
        <v>26400</v>
      </c>
      <c r="E93" s="4">
        <f t="shared" si="23"/>
        <v>72922.188125167508</v>
      </c>
      <c r="F93" s="4">
        <f t="shared" si="25"/>
        <v>2420.0990509335097</v>
      </c>
      <c r="G93" s="4">
        <f t="shared" si="26"/>
        <v>2430.7396041722504</v>
      </c>
      <c r="H93" s="4">
        <f t="shared" si="27"/>
        <v>2700</v>
      </c>
      <c r="I93" s="4">
        <f t="shared" si="28"/>
        <v>279.90094906649028</v>
      </c>
      <c r="J93" s="4">
        <f t="shared" si="24"/>
        <v>-11922.188125167508</v>
      </c>
      <c r="K93" s="4">
        <f t="shared" si="29"/>
        <v>2420.0990509335243</v>
      </c>
    </row>
    <row r="94" spans="1:11" x14ac:dyDescent="0.3">
      <c r="A94" s="12">
        <v>31</v>
      </c>
      <c r="B94" s="13">
        <f t="shared" si="20"/>
        <v>2050.3131451750946</v>
      </c>
      <c r="C94" s="14">
        <f t="shared" si="21"/>
        <v>48095.714325956505</v>
      </c>
      <c r="D94" s="14">
        <f t="shared" si="22"/>
        <v>27280</v>
      </c>
      <c r="E94" s="14">
        <f t="shared" si="23"/>
        <v>75375.714325956505</v>
      </c>
      <c r="F94" s="14">
        <f t="shared" si="25"/>
        <v>2453.5262007889978</v>
      </c>
      <c r="G94" s="14">
        <f t="shared" si="26"/>
        <v>2431.4746556760165</v>
      </c>
      <c r="H94" s="14">
        <f t="shared" si="27"/>
        <v>2700</v>
      </c>
      <c r="I94" s="14">
        <f t="shared" si="28"/>
        <v>246.47379921100219</v>
      </c>
      <c r="J94" s="14">
        <f t="shared" si="24"/>
        <v>-11675.714325956505</v>
      </c>
      <c r="K94" s="14">
        <f t="shared" si="29"/>
        <v>2453.5262007889687</v>
      </c>
    </row>
    <row r="95" spans="1:11" x14ac:dyDescent="0.3">
      <c r="A95" s="12">
        <v>32</v>
      </c>
      <c r="B95" s="13">
        <f t="shared" si="20"/>
        <v>2142.9079323765509</v>
      </c>
      <c r="C95" s="14">
        <f t="shared" si="21"/>
        <v>49703.262714870674</v>
      </c>
      <c r="D95" s="14">
        <f t="shared" si="22"/>
        <v>28160</v>
      </c>
      <c r="E95" s="14">
        <f t="shared" si="23"/>
        <v>77863.262714870682</v>
      </c>
      <c r="F95" s="14">
        <f t="shared" si="25"/>
        <v>2487.548388914176</v>
      </c>
      <c r="G95" s="14">
        <f t="shared" si="26"/>
        <v>2433.2269598397088</v>
      </c>
      <c r="H95" s="14">
        <f t="shared" si="27"/>
        <v>2700</v>
      </c>
      <c r="I95" s="14">
        <f t="shared" si="28"/>
        <v>212.45161108582397</v>
      </c>
      <c r="J95" s="14">
        <f t="shared" si="24"/>
        <v>-11463.262714870682</v>
      </c>
      <c r="K95" s="14">
        <f t="shared" si="29"/>
        <v>2487.5483889141906</v>
      </c>
    </row>
    <row r="96" spans="1:11" x14ac:dyDescent="0.3">
      <c r="A96" s="12">
        <v>33</v>
      </c>
      <c r="B96" s="13">
        <f t="shared" si="20"/>
        <v>2237.4972278291093</v>
      </c>
      <c r="C96" s="14">
        <f t="shared" si="21"/>
        <v>51345.437983144257</v>
      </c>
      <c r="D96" s="14">
        <f t="shared" si="22"/>
        <v>29040</v>
      </c>
      <c r="E96" s="14">
        <f t="shared" si="23"/>
        <v>80385.437983144249</v>
      </c>
      <c r="F96" s="14">
        <f t="shared" si="25"/>
        <v>2522.1752682735678</v>
      </c>
      <c r="G96" s="14">
        <f t="shared" si="26"/>
        <v>2435.9223631255832</v>
      </c>
      <c r="H96" s="14">
        <f t="shared" si="27"/>
        <v>2700</v>
      </c>
      <c r="I96" s="14">
        <f t="shared" si="28"/>
        <v>177.82473172643222</v>
      </c>
      <c r="J96" s="14">
        <f t="shared" si="24"/>
        <v>-11285.437983144249</v>
      </c>
      <c r="K96" s="14">
        <f t="shared" si="29"/>
        <v>2522.1752682735823</v>
      </c>
    </row>
    <row r="97" spans="1:11" x14ac:dyDescent="0.3">
      <c r="A97" s="12">
        <v>34</v>
      </c>
      <c r="B97" s="13">
        <f t="shared" si="20"/>
        <v>2334.116426303548</v>
      </c>
      <c r="C97" s="14">
        <f t="shared" si="21"/>
        <v>53022.854623325489</v>
      </c>
      <c r="D97" s="14">
        <f t="shared" si="22"/>
        <v>29920</v>
      </c>
      <c r="E97" s="14">
        <f t="shared" si="23"/>
        <v>82942.854623325489</v>
      </c>
      <c r="F97" s="14">
        <f t="shared" si="25"/>
        <v>2557.4166401812399</v>
      </c>
      <c r="G97" s="14">
        <f t="shared" si="26"/>
        <v>2439.4957242154555</v>
      </c>
      <c r="H97" s="14">
        <f t="shared" si="27"/>
        <v>2700</v>
      </c>
      <c r="I97" s="14">
        <f t="shared" si="28"/>
        <v>142.58335981876007</v>
      </c>
      <c r="J97" s="14">
        <f t="shared" si="24"/>
        <v>-11142.854623325489</v>
      </c>
      <c r="K97" s="14">
        <f t="shared" si="29"/>
        <v>2557.4166401812254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40</vt:i4>
      </vt:variant>
    </vt:vector>
  </HeadingPairs>
  <TitlesOfParts>
    <vt:vector size="44" baseType="lpstr">
      <vt:lpstr>Inputs</vt:lpstr>
      <vt:lpstr>Calc</vt:lpstr>
      <vt:lpstr>Output</vt:lpstr>
      <vt:lpstr>MC Schedule</vt:lpstr>
      <vt:lpstr>BedsCarrots</vt:lpstr>
      <vt:lpstr>BedsMesclun</vt:lpstr>
      <vt:lpstr>BedsTomatoes</vt:lpstr>
      <vt:lpstr>DimReturnsCarrots</vt:lpstr>
      <vt:lpstr>DimReturnsMesclun</vt:lpstr>
      <vt:lpstr>DimReturnsTomatoes</vt:lpstr>
      <vt:lpstr>FertilizerCost</vt:lpstr>
      <vt:lpstr>FertilizerPerBedCarrots</vt:lpstr>
      <vt:lpstr>FertilizerPerBedMesclun</vt:lpstr>
      <vt:lpstr>FertilizerPerBedTomatoes</vt:lpstr>
      <vt:lpstr>FixedCosts</vt:lpstr>
      <vt:lpstr>LaborCost</vt:lpstr>
      <vt:lpstr>LaborHoursCarrots</vt:lpstr>
      <vt:lpstr>LaborHoursMesclun</vt:lpstr>
      <vt:lpstr>LaborHoursTomatoes</vt:lpstr>
      <vt:lpstr>LaborHrsPerBedCarrots</vt:lpstr>
      <vt:lpstr>LaborHrsPerBedMesclun</vt:lpstr>
      <vt:lpstr>LaborHrsPerBedTomatoes</vt:lpstr>
      <vt:lpstr>MaxBedsCarrots</vt:lpstr>
      <vt:lpstr>MaxBedsMesclun</vt:lpstr>
      <vt:lpstr>MaxBedsTomatoes</vt:lpstr>
      <vt:lpstr>OwnLaborHours</vt:lpstr>
      <vt:lpstr>OwnLaborHoursUsed</vt:lpstr>
      <vt:lpstr>OwnWageRate</vt:lpstr>
      <vt:lpstr>Profit</vt:lpstr>
      <vt:lpstr>Revenue</vt:lpstr>
      <vt:lpstr>RevenuePerBedCarrots</vt:lpstr>
      <vt:lpstr>RevenuePerBedMesclun</vt:lpstr>
      <vt:lpstr>RevenuePerBedTomatoes</vt:lpstr>
      <vt:lpstr>SeasonWeeks</vt:lpstr>
      <vt:lpstr>TempHoursPerWorker</vt:lpstr>
      <vt:lpstr>TempLaborCapacity</vt:lpstr>
      <vt:lpstr>TempLaborHoursUsed</vt:lpstr>
      <vt:lpstr>TempWageRate</vt:lpstr>
      <vt:lpstr>TempWorkerCount</vt:lpstr>
      <vt:lpstr>TotalBedCap</vt:lpstr>
      <vt:lpstr>TotalBedsPlanted</vt:lpstr>
      <vt:lpstr>TotalCost</vt:lpstr>
      <vt:lpstr>TotalLaborCapacity</vt:lpstr>
      <vt:lpstr>TotalLaborHours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Moore</cp:lastModifiedBy>
  <dcterms:created xsi:type="dcterms:W3CDTF">2026-09-18T03:00:38Z</dcterms:created>
  <dcterms:modified xsi:type="dcterms:W3CDTF">2026-10-07T09:24:29Z</dcterms:modified>
</cp:coreProperties>
</file>