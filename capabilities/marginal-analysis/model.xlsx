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ysp-cloud.kp.org/personal/ryan_m_moore_kp_org/Documents/Shidler/BUS 620 Econ Foundations/"/>
    </mc:Choice>
  </mc:AlternateContent>
  <xr:revisionPtr revIDLastSave="3" documentId="13_ncr:1_{42EFEC8F-C093-48B7-945B-F1A08FF85ADD}" xr6:coauthVersionLast="47" xr6:coauthVersionMax="47" xr10:uidLastSave="{AD3EF3D2-DFF6-4E04-94CE-5D6D7E9A6441}"/>
  <bookViews>
    <workbookView xWindow="22932" yWindow="1272" windowWidth="23256" windowHeight="12456" activeTab="1" xr2:uid="{00000000-000D-0000-FFFF-FFFF00000000}"/>
  </bookViews>
  <sheets>
    <sheet name="Inputs" sheetId="1" r:id="rId1"/>
    <sheet name="Calc" sheetId="2" r:id="rId2"/>
    <sheet name="Output" sheetId="3" r:id="rId3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solver_adj" localSheetId="1" hidden="1">Calc!$B$4:$B$6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2</definedName>
    <definedName name="solver_eng" localSheetId="1" hidden="1">1</definedName>
    <definedName name="solver_eng" localSheetId="2" hidden="1">1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Calc!$B$4:$B$6</definedName>
    <definedName name="solver_lhs1" localSheetId="2" hidden="1">Output!$B$6</definedName>
    <definedName name="solver_lhs2" localSheetId="1" hidden="1">Calc!$B$4:$B$6</definedName>
    <definedName name="solver_lhs2" localSheetId="2" hidden="1">Output!$B$6</definedName>
    <definedName name="solver_lhs3" localSheetId="1" hidden="1">Calc!$B$5</definedName>
    <definedName name="solver_lhs3" localSheetId="2" hidden="1">Output!$B$6</definedName>
    <definedName name="solver_lhs4" localSheetId="1" hidden="1">Calc!$B$6</definedName>
    <definedName name="solver_lhs4" localSheetId="2" hidden="1">Output!$B$6</definedName>
    <definedName name="solver_lhs5" localSheetId="1" hidden="1">Calc!$B$4</definedName>
    <definedName name="solver_lhs5" localSheetId="2" hidden="1">Output!$B$6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1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7</definedName>
    <definedName name="solver_num" localSheetId="2" hidden="1">0</definedName>
    <definedName name="solver_nwt" localSheetId="1" hidden="1">1</definedName>
    <definedName name="solver_nwt" localSheetId="2" hidden="1">1</definedName>
    <definedName name="solver_opt" localSheetId="1" hidden="1">Calc!$B$24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2</definedName>
    <definedName name="solver_rel1" localSheetId="1" hidden="1">4</definedName>
    <definedName name="solver_rel1" localSheetId="2" hidden="1">1</definedName>
    <definedName name="solver_rel2" localSheetId="1" hidden="1">3</definedName>
    <definedName name="solver_rel2" localSheetId="2" hidden="1">1</definedName>
    <definedName name="solver_rel3" localSheetId="1" hidden="1">1</definedName>
    <definedName name="solver_rel3" localSheetId="2" hidden="1">1</definedName>
    <definedName name="solver_rel4" localSheetId="1" hidden="1">1</definedName>
    <definedName name="solver_rel4" localSheetId="2" hidden="1">1</definedName>
    <definedName name="solver_rel5" localSheetId="1" hidden="1">1</definedName>
    <definedName name="solver_rel5" localSheetId="2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1" localSheetId="2" hidden="1">30</definedName>
    <definedName name="solver_rhs2" localSheetId="1" hidden="1">0</definedName>
    <definedName name="solver_rhs2" localSheetId="2" hidden="1">30</definedName>
    <definedName name="solver_rhs3" localSheetId="1" hidden="1">20</definedName>
    <definedName name="solver_rhs3" localSheetId="2" hidden="1">30</definedName>
    <definedName name="solver_rhs4" localSheetId="1" hidden="1">30</definedName>
    <definedName name="solver_rhs4" localSheetId="2" hidden="1">30</definedName>
    <definedName name="solver_rhs5" localSheetId="1" hidden="1">20</definedName>
    <definedName name="solver_rhs5" localSheetId="2" hidden="1">30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2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1</definedName>
    <definedName name="solver_typ" localSheetId="2" hidden="1">1</definedName>
    <definedName name="solver_val" localSheetId="1" hidden="1">0</definedName>
    <definedName name="solver_val" localSheetId="2" hidden="1">0</definedName>
    <definedName name="solver_ver" localSheetId="1" hidden="1">3</definedName>
    <definedName name="solver_ver" localSheetId="2" hidden="1">3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3" l="1"/>
  <c r="B19" i="3"/>
  <c r="B18" i="3"/>
  <c r="B28" i="2"/>
  <c r="B27" i="2"/>
  <c r="B21" i="3" s="1"/>
  <c r="B22" i="2"/>
  <c r="B21" i="2"/>
  <c r="B23" i="3" s="1"/>
  <c r="B17" i="2"/>
  <c r="B11" i="2"/>
  <c r="B10" i="2"/>
  <c r="B9" i="2"/>
  <c r="B12" i="2" l="1"/>
  <c r="B15" i="2" l="1"/>
  <c r="B16" i="2"/>
  <c r="B22" i="3"/>
  <c r="B18" i="2" l="1"/>
  <c r="B23" i="2" s="1"/>
  <c r="B24" i="3" l="1"/>
  <c r="B24" i="2"/>
  <c r="B25" i="3" l="1"/>
</calcChain>
</file>

<file path=xl/sharedStrings.xml><?xml version="1.0" encoding="utf-8"?>
<sst xmlns="http://schemas.openxmlformats.org/spreadsheetml/2006/main" count="84" uniqueCount="76">
  <si>
    <t>Perfect Competition — Inputs</t>
  </si>
  <si>
    <t>Crop assumptions</t>
  </si>
  <si>
    <t>Crop</t>
  </si>
  <si>
    <t>Max beds</t>
  </si>
  <si>
    <t>Revenue/bed</t>
  </si>
  <si>
    <t>Labor hrs/wk/bed</t>
  </si>
  <si>
    <t>Fertilizer cost/bed</t>
  </si>
  <si>
    <t>Diminishing returns/bed</t>
  </si>
  <si>
    <t>Tomatoes</t>
  </si>
  <si>
    <t>Carrots</t>
  </si>
  <si>
    <t>Mesclun</t>
  </si>
  <si>
    <t>Farm-wide assumptions</t>
  </si>
  <si>
    <t>Total beds available</t>
  </si>
  <si>
    <t>Fixed costs for the season</t>
  </si>
  <si>
    <t>Length of growing season (weeks)</t>
  </si>
  <si>
    <t>Your own labor hours available</t>
  </si>
  <si>
    <t>Your labor rate ($/hr)</t>
  </si>
  <si>
    <t>Max number of temp workers</t>
  </si>
  <si>
    <t>Max hours per temp worker</t>
  </si>
  <si>
    <t>Temp labor rate ($/hr)</t>
  </si>
  <si>
    <t>Labor(q) for q beds of one crop = q * (hrs/wk/bed) * SeasonWeeks * (1 + diminishing returns/bed)^q</t>
  </si>
  <si>
    <t>Own labor hours are exhausted before any temp labor hours are used.</t>
  </si>
  <si>
    <t>Beds must be planted whole and with a single crop; no partial or split beds.</t>
  </si>
  <si>
    <t>Perfect Competition — Calc</t>
  </si>
  <si>
    <t>Decision variables (Solver: By Changing Variable Cells)</t>
  </si>
  <si>
    <t>Beds — Tomatoes</t>
  </si>
  <si>
    <t>starting values — run Solver to find the optimum</t>
  </si>
  <si>
    <t>Beds — Carrots</t>
  </si>
  <si>
    <t>Beds — Mesclun</t>
  </si>
  <si>
    <t>Labor hours by crop</t>
  </si>
  <si>
    <t>Labor hours — Tomatoes</t>
  </si>
  <si>
    <t>Labor hours — Carrots</t>
  </si>
  <si>
    <t>Labor hours — Mesclun</t>
  </si>
  <si>
    <t>Total labor hours</t>
  </si>
  <si>
    <t>Labor cost (own hours first, then temp)</t>
  </si>
  <si>
    <t>Own labor hours used</t>
  </si>
  <si>
    <t>Temp labor hours used</t>
  </si>
  <si>
    <t>Temp labor capacity</t>
  </si>
  <si>
    <t>Labor cost</t>
  </si>
  <si>
    <t>Revenue and other costs</t>
  </si>
  <si>
    <t>Revenue</t>
  </si>
  <si>
    <t>Fertilizer cost</t>
  </si>
  <si>
    <t>Total cost</t>
  </si>
  <si>
    <t>Profit</t>
  </si>
  <si>
    <t>Constraint checks (Solver: Subject to the Constraints)</t>
  </si>
  <si>
    <t>Total beds planted</t>
  </si>
  <si>
    <t>&lt;= TotalBedCap (64)</t>
  </si>
  <si>
    <t>Total labor hours vs. capacity</t>
  </si>
  <si>
    <t>TotalLaborHours &lt;= this (6,480 hrs)</t>
  </si>
  <si>
    <t>Perfect Competition — Output</t>
  </si>
  <si>
    <t>Solver setup</t>
  </si>
  <si>
    <t>Set Objective</t>
  </si>
  <si>
    <t>Calc!$B$24  (Profit)</t>
  </si>
  <si>
    <t>To</t>
  </si>
  <si>
    <t>Max</t>
  </si>
  <si>
    <t>By Changing Variable Cells</t>
  </si>
  <si>
    <t>Calc!$B$4:$B$6  (BedsTomatoes, BedsCarrots, BedsMesclun)</t>
  </si>
  <si>
    <t>Constraint 1</t>
  </si>
  <si>
    <t>Calc!$B$4 &lt;= 20  (MaxBedsTomatoes)</t>
  </si>
  <si>
    <t>Constraint 2</t>
  </si>
  <si>
    <t>Calc!$B$5 &lt;= 20  (MaxBedsCarrots)</t>
  </si>
  <si>
    <t>Constraint 3</t>
  </si>
  <si>
    <t>Calc!$B$6 &lt;= 30  (MaxBedsMesclun)</t>
  </si>
  <si>
    <t>Constraint 4</t>
  </si>
  <si>
    <t>Calc!$B$27 &lt;= 64  (TotalBedsPlanted &lt;= TotalBedCap)</t>
  </si>
  <si>
    <t>Constraint 5</t>
  </si>
  <si>
    <t>Calc!$B$12 &lt;= Calc!$B$28  (TotalLaborHours &lt;= TotalLaborCapacity)</t>
  </si>
  <si>
    <t>Constraint 6</t>
  </si>
  <si>
    <t>Calc!$B$4:$B$6 = integer</t>
  </si>
  <si>
    <t>Constraint 7</t>
  </si>
  <si>
    <t>Calc!$B$4:$B$6 &gt;= 0</t>
  </si>
  <si>
    <t>Solving Method</t>
  </si>
  <si>
    <t>Try GRG Nonlinear first; switch to Evolutionary if it stalls or returns a different answer from different starting beds (the exponential diminishing-returns term and the MIN/MAX wage tiers make this non-smooth, so GRG can settle on a local optimum).</t>
  </si>
  <si>
    <t>Options</t>
  </si>
  <si>
    <t>Check "Make Unconstrained Variables Non-Negative"</t>
  </si>
  <si>
    <t>Current values (Calc sheet — update after running Solver)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</si>
</sst>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4" fontId="1" fillId="0" borderId="0" xfId="0" applyNumberFormat="1" applyFont="1"/>
    <xf numFmtId="16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/>
  </sheetViews>
  <sheetFormatPr defaultRowHeight="14.4" x14ac:dyDescent="0.3"/>
  <cols>
    <col min="1" max="1" width="30.88671875" customWidth="1"/>
    <col min="2" max="2" width="12" customWidth="1"/>
    <col min="3" max="3" width="14" customWidth="1"/>
    <col min="4" max="4" width="16" customWidth="1"/>
    <col min="5" max="5" width="18" customWidth="1"/>
    <col min="6" max="6" width="20" customWidth="1"/>
  </cols>
  <sheetData>
    <row r="1" spans="1:6" x14ac:dyDescent="0.3">
      <c r="A1" s="1" t="s">
        <v>0</v>
      </c>
    </row>
    <row r="3" spans="1:6" x14ac:dyDescent="0.3">
      <c r="A3" s="1" t="s">
        <v>1</v>
      </c>
    </row>
    <row r="4" spans="1: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x14ac:dyDescent="0.3">
      <c r="A5" t="s">
        <v>8</v>
      </c>
      <c r="B5" s="2">
        <v>20</v>
      </c>
      <c r="C5" s="3">
        <v>8800</v>
      </c>
      <c r="D5" s="3">
        <v>2.5</v>
      </c>
      <c r="E5" s="3">
        <v>880</v>
      </c>
      <c r="F5" s="4">
        <v>0.1</v>
      </c>
    </row>
    <row r="6" spans="1:6" x14ac:dyDescent="0.3">
      <c r="A6" t="s">
        <v>9</v>
      </c>
      <c r="B6" s="2">
        <v>20</v>
      </c>
      <c r="C6" s="3">
        <v>2094</v>
      </c>
      <c r="D6" s="3">
        <v>0.83299999999999996</v>
      </c>
      <c r="E6" s="3">
        <v>440</v>
      </c>
      <c r="F6" s="4">
        <v>2.5000000000000001E-2</v>
      </c>
    </row>
    <row r="7" spans="1:6" x14ac:dyDescent="0.3">
      <c r="A7" t="s">
        <v>10</v>
      </c>
      <c r="B7" s="2">
        <v>30</v>
      </c>
      <c r="C7" s="3">
        <v>2700</v>
      </c>
      <c r="D7" s="3">
        <v>1.25</v>
      </c>
      <c r="E7" s="3">
        <v>880</v>
      </c>
      <c r="F7" s="4">
        <v>1.2500000000000001E-2</v>
      </c>
    </row>
    <row r="9" spans="1:6" x14ac:dyDescent="0.3">
      <c r="A9" s="1" t="s">
        <v>11</v>
      </c>
    </row>
    <row r="10" spans="1:6" x14ac:dyDescent="0.3">
      <c r="A10" s="1" t="s">
        <v>12</v>
      </c>
      <c r="B10" s="2">
        <v>64</v>
      </c>
    </row>
    <row r="11" spans="1:6" x14ac:dyDescent="0.3">
      <c r="A11" s="1" t="s">
        <v>13</v>
      </c>
      <c r="B11" s="5">
        <v>20000</v>
      </c>
    </row>
    <row r="12" spans="1:6" x14ac:dyDescent="0.3">
      <c r="A12" s="1" t="s">
        <v>14</v>
      </c>
      <c r="B12" s="2">
        <v>36</v>
      </c>
    </row>
    <row r="13" spans="1:6" x14ac:dyDescent="0.3">
      <c r="A13" s="1" t="s">
        <v>15</v>
      </c>
      <c r="B13" s="2">
        <v>720</v>
      </c>
    </row>
    <row r="14" spans="1:6" x14ac:dyDescent="0.3">
      <c r="A14" s="1" t="s">
        <v>16</v>
      </c>
      <c r="B14" s="3">
        <v>34.72</v>
      </c>
    </row>
    <row r="15" spans="1:6" x14ac:dyDescent="0.3">
      <c r="A15" s="1" t="s">
        <v>17</v>
      </c>
      <c r="B15" s="2">
        <v>4</v>
      </c>
    </row>
    <row r="16" spans="1:6" x14ac:dyDescent="0.3">
      <c r="A16" s="1" t="s">
        <v>18</v>
      </c>
      <c r="B16" s="2">
        <v>1440</v>
      </c>
    </row>
    <row r="17" spans="1:2" x14ac:dyDescent="0.3">
      <c r="A17" s="1" t="s">
        <v>19</v>
      </c>
      <c r="B17" s="3">
        <v>17.36</v>
      </c>
    </row>
    <row r="19" spans="1:2" x14ac:dyDescent="0.3">
      <c r="A19" t="s">
        <v>20</v>
      </c>
    </row>
    <row r="20" spans="1:2" x14ac:dyDescent="0.3">
      <c r="A20" t="s">
        <v>21</v>
      </c>
    </row>
    <row r="21" spans="1:2" x14ac:dyDescent="0.3">
      <c r="A21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8"/>
  <sheetViews>
    <sheetView tabSelected="1" workbookViewId="0">
      <selection activeCell="B7" sqref="B7"/>
    </sheetView>
  </sheetViews>
  <sheetFormatPr defaultRowHeight="14.4" x14ac:dyDescent="0.3"/>
  <cols>
    <col min="1" max="1" width="25.77734375" customWidth="1"/>
    <col min="2" max="2" width="13.109375" customWidth="1"/>
    <col min="3" max="3" width="40" customWidth="1"/>
  </cols>
  <sheetData>
    <row r="1" spans="1:3" x14ac:dyDescent="0.3">
      <c r="A1" s="1" t="s">
        <v>23</v>
      </c>
    </row>
    <row r="3" spans="1:3" x14ac:dyDescent="0.3">
      <c r="A3" s="1" t="s">
        <v>24</v>
      </c>
    </row>
    <row r="4" spans="1:3" x14ac:dyDescent="0.3">
      <c r="A4" s="1" t="s">
        <v>25</v>
      </c>
      <c r="B4" s="2">
        <v>10</v>
      </c>
      <c r="C4" t="s">
        <v>26</v>
      </c>
    </row>
    <row r="5" spans="1:3" x14ac:dyDescent="0.3">
      <c r="A5" s="1" t="s">
        <v>27</v>
      </c>
      <c r="B5" s="2">
        <v>20</v>
      </c>
    </row>
    <row r="6" spans="1:3" x14ac:dyDescent="0.3">
      <c r="A6" s="1" t="s">
        <v>28</v>
      </c>
      <c r="B6" s="2">
        <v>30</v>
      </c>
    </row>
    <row r="8" spans="1:3" x14ac:dyDescent="0.3">
      <c r="A8" s="1" t="s">
        <v>29</v>
      </c>
    </row>
    <row r="9" spans="1:3" x14ac:dyDescent="0.3">
      <c r="A9" t="s">
        <v>30</v>
      </c>
      <c r="B9" s="3">
        <f>BedsTomatoes*LaborHrsPerBedTomatoes*SeasonWeeks*(1+DimReturnsTomatoes)^BedsTomatoes</f>
        <v>2334.3682140900019</v>
      </c>
    </row>
    <row r="10" spans="1:3" x14ac:dyDescent="0.3">
      <c r="A10" t="s">
        <v>31</v>
      </c>
      <c r="B10" s="3">
        <f>BedsCarrots*LaborHrsPerBedCarrots*SeasonWeeks*(1+DimReturnsCarrots)^BedsCarrots</f>
        <v>982.77659622856766</v>
      </c>
    </row>
    <row r="11" spans="1:3" x14ac:dyDescent="0.3">
      <c r="A11" t="s">
        <v>32</v>
      </c>
      <c r="B11" s="3">
        <f>BedsMesclun*LaborHrsPerBedMesclun*SeasonWeeks*(1+DimReturnsMesclun)^BedsMesclun</f>
        <v>1959.6780360096488</v>
      </c>
    </row>
    <row r="12" spans="1:3" x14ac:dyDescent="0.3">
      <c r="A12" s="1" t="s">
        <v>33</v>
      </c>
      <c r="B12" s="6">
        <f>LaborHoursTomatoes+LaborHoursCarrots+LaborHoursMesclun</f>
        <v>5276.8228463282185</v>
      </c>
    </row>
    <row r="14" spans="1:3" x14ac:dyDescent="0.3">
      <c r="A14" s="1" t="s">
        <v>34</v>
      </c>
    </row>
    <row r="15" spans="1:3" x14ac:dyDescent="0.3">
      <c r="A15" t="s">
        <v>35</v>
      </c>
      <c r="B15" s="3">
        <f>MIN(TotalLaborHours,OwnLaborHours)</f>
        <v>720</v>
      </c>
    </row>
    <row r="16" spans="1:3" x14ac:dyDescent="0.3">
      <c r="A16" t="s">
        <v>36</v>
      </c>
      <c r="B16" s="3">
        <f>MAX(TotalLaborHours-OwnLaborHours,0)</f>
        <v>4556.8228463282185</v>
      </c>
    </row>
    <row r="17" spans="1:3" x14ac:dyDescent="0.3">
      <c r="A17" t="s">
        <v>37</v>
      </c>
      <c r="B17" s="3">
        <f>TempWorkerCount*TempHoursPerWorker</f>
        <v>5760</v>
      </c>
    </row>
    <row r="18" spans="1:3" x14ac:dyDescent="0.3">
      <c r="A18" s="1" t="s">
        <v>38</v>
      </c>
      <c r="B18" s="7">
        <f>OwnLaborHoursUsed*OwnWageRate+TempLaborHoursUsed*TempWageRate</f>
        <v>104104.84461225786</v>
      </c>
    </row>
    <row r="20" spans="1:3" x14ac:dyDescent="0.3">
      <c r="A20" s="1" t="s">
        <v>39</v>
      </c>
    </row>
    <row r="21" spans="1:3" x14ac:dyDescent="0.3">
      <c r="A21" t="s">
        <v>40</v>
      </c>
      <c r="B21" s="5">
        <f>BedsTomatoes*RevenuePerBedTomatoes+BedsCarrots*RevenuePerBedCarrots+BedsMesclun*RevenuePerBedMesclun</f>
        <v>210880</v>
      </c>
    </row>
    <row r="22" spans="1:3" x14ac:dyDescent="0.3">
      <c r="A22" t="s">
        <v>41</v>
      </c>
      <c r="B22" s="5">
        <f>BedsTomatoes*FertilizerPerBedTomatoes+BedsCarrots*FertilizerPerBedCarrots+BedsMesclun*FertilizerPerBedMesclun</f>
        <v>44000</v>
      </c>
    </row>
    <row r="23" spans="1:3" x14ac:dyDescent="0.3">
      <c r="A23" s="1" t="s">
        <v>42</v>
      </c>
      <c r="B23" s="7">
        <f>FixedCosts+FertilizerCost+LaborCost</f>
        <v>168104.84461225785</v>
      </c>
    </row>
    <row r="24" spans="1:3" x14ac:dyDescent="0.3">
      <c r="A24" s="1" t="s">
        <v>43</v>
      </c>
      <c r="B24" s="7">
        <f>Revenue-TotalCost</f>
        <v>42775.155387742154</v>
      </c>
    </row>
    <row r="26" spans="1:3" x14ac:dyDescent="0.3">
      <c r="A26" s="1" t="s">
        <v>44</v>
      </c>
    </row>
    <row r="27" spans="1:3" x14ac:dyDescent="0.3">
      <c r="A27" t="s">
        <v>45</v>
      </c>
      <c r="B27" s="2">
        <f>BedsTomatoes+BedsCarrots+BedsMesclun</f>
        <v>60</v>
      </c>
      <c r="C27" t="s">
        <v>46</v>
      </c>
    </row>
    <row r="28" spans="1:3" x14ac:dyDescent="0.3">
      <c r="A28" t="s">
        <v>47</v>
      </c>
      <c r="B28" s="3">
        <f>OwnLaborHours+TempLaborCapacity</f>
        <v>6480</v>
      </c>
      <c r="C28" t="s">
        <v>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18" sqref="B18"/>
    </sheetView>
  </sheetViews>
  <sheetFormatPr defaultRowHeight="14.4" x14ac:dyDescent="0.3"/>
  <cols>
    <col min="1" max="1" width="27.33203125" customWidth="1"/>
    <col min="2" max="2" width="10.77734375" customWidth="1"/>
  </cols>
  <sheetData>
    <row r="1" spans="1:2" x14ac:dyDescent="0.3">
      <c r="A1" s="1" t="s">
        <v>49</v>
      </c>
    </row>
    <row r="3" spans="1:2" x14ac:dyDescent="0.3">
      <c r="A3" s="1" t="s">
        <v>50</v>
      </c>
    </row>
    <row r="4" spans="1:2" x14ac:dyDescent="0.3">
      <c r="A4" s="1" t="s">
        <v>51</v>
      </c>
      <c r="B4" t="s">
        <v>52</v>
      </c>
    </row>
    <row r="5" spans="1:2" x14ac:dyDescent="0.3">
      <c r="A5" s="1" t="s">
        <v>53</v>
      </c>
      <c r="B5" t="s">
        <v>54</v>
      </c>
    </row>
    <row r="6" spans="1:2" x14ac:dyDescent="0.3">
      <c r="A6" s="1" t="s">
        <v>55</v>
      </c>
      <c r="B6" t="s">
        <v>56</v>
      </c>
    </row>
    <row r="7" spans="1:2" x14ac:dyDescent="0.3">
      <c r="A7" s="1" t="s">
        <v>57</v>
      </c>
      <c r="B7" t="s">
        <v>58</v>
      </c>
    </row>
    <row r="8" spans="1:2" x14ac:dyDescent="0.3">
      <c r="A8" s="1" t="s">
        <v>59</v>
      </c>
      <c r="B8" t="s">
        <v>60</v>
      </c>
    </row>
    <row r="9" spans="1:2" x14ac:dyDescent="0.3">
      <c r="A9" s="1" t="s">
        <v>61</v>
      </c>
      <c r="B9" t="s">
        <v>62</v>
      </c>
    </row>
    <row r="10" spans="1:2" x14ac:dyDescent="0.3">
      <c r="A10" s="1" t="s">
        <v>63</v>
      </c>
      <c r="B10" t="s">
        <v>64</v>
      </c>
    </row>
    <row r="11" spans="1:2" x14ac:dyDescent="0.3">
      <c r="A11" s="1" t="s">
        <v>65</v>
      </c>
      <c r="B11" t="s">
        <v>66</v>
      </c>
    </row>
    <row r="12" spans="1:2" x14ac:dyDescent="0.3">
      <c r="A12" s="1" t="s">
        <v>67</v>
      </c>
      <c r="B12" t="s">
        <v>68</v>
      </c>
    </row>
    <row r="13" spans="1:2" x14ac:dyDescent="0.3">
      <c r="A13" s="1" t="s">
        <v>69</v>
      </c>
      <c r="B13" t="s">
        <v>70</v>
      </c>
    </row>
    <row r="14" spans="1:2" ht="43.2" x14ac:dyDescent="0.3">
      <c r="A14" s="1" t="s">
        <v>71</v>
      </c>
      <c r="B14" s="9" t="s">
        <v>72</v>
      </c>
    </row>
    <row r="15" spans="1:2" x14ac:dyDescent="0.3">
      <c r="A15" s="1" t="s">
        <v>73</v>
      </c>
      <c r="B15" t="s">
        <v>74</v>
      </c>
    </row>
    <row r="17" spans="1:2" x14ac:dyDescent="0.3">
      <c r="A17" s="1" t="s">
        <v>75</v>
      </c>
    </row>
    <row r="18" spans="1:2" x14ac:dyDescent="0.3">
      <c r="A18" t="s">
        <v>25</v>
      </c>
      <c r="B18" s="2">
        <f>BedsTomatoes</f>
        <v>10</v>
      </c>
    </row>
    <row r="19" spans="1:2" x14ac:dyDescent="0.3">
      <c r="A19" t="s">
        <v>27</v>
      </c>
      <c r="B19" s="2">
        <f>BedsCarrots</f>
        <v>20</v>
      </c>
    </row>
    <row r="20" spans="1:2" x14ac:dyDescent="0.3">
      <c r="A20" t="s">
        <v>28</v>
      </c>
      <c r="B20" s="2">
        <f>BedsMesclun</f>
        <v>30</v>
      </c>
    </row>
    <row r="21" spans="1:2" x14ac:dyDescent="0.3">
      <c r="A21" s="1" t="s">
        <v>45</v>
      </c>
      <c r="B21" s="8">
        <f>TotalBedsPlanted</f>
        <v>60</v>
      </c>
    </row>
    <row r="22" spans="1:2" x14ac:dyDescent="0.3">
      <c r="A22" t="s">
        <v>33</v>
      </c>
      <c r="B22" s="3">
        <f>TotalLaborHours</f>
        <v>5276.8228463282185</v>
      </c>
    </row>
    <row r="23" spans="1:2" x14ac:dyDescent="0.3">
      <c r="A23" t="s">
        <v>40</v>
      </c>
      <c r="B23" s="5">
        <f>Revenue</f>
        <v>210880</v>
      </c>
    </row>
    <row r="24" spans="1:2" x14ac:dyDescent="0.3">
      <c r="A24" t="s">
        <v>42</v>
      </c>
      <c r="B24" s="5">
        <f>TotalCost</f>
        <v>168104.84461225785</v>
      </c>
    </row>
    <row r="25" spans="1:2" x14ac:dyDescent="0.3">
      <c r="A25" s="1" t="s">
        <v>43</v>
      </c>
      <c r="B25" s="7">
        <f>Profit</f>
        <v>42775.155387742154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40</vt:i4>
      </vt:variant>
    </vt:vector>
  </HeadingPairs>
  <TitlesOfParts>
    <vt:vector size="43" baseType="lpstr">
      <vt:lpstr>Inputs</vt:lpstr>
      <vt:lpstr>Calc</vt:lpstr>
      <vt:lpstr>Output</vt:lpstr>
      <vt:lpstr>BedsCarrots</vt:lpstr>
      <vt:lpstr>BedsMesclun</vt:lpstr>
      <vt:lpstr>BedsTomatoes</vt:lpstr>
      <vt:lpstr>DimReturnsCarrots</vt:lpstr>
      <vt:lpstr>DimReturnsMesclun</vt:lpstr>
      <vt:lpstr>DimReturnsTomatoes</vt:lpstr>
      <vt:lpstr>FertilizerCost</vt:lpstr>
      <vt:lpstr>FertilizerPerBedCarrots</vt:lpstr>
      <vt:lpstr>FertilizerPerBedMesclun</vt:lpstr>
      <vt:lpstr>FertilizerPerBedTomatoes</vt:lpstr>
      <vt:lpstr>FixedCosts</vt:lpstr>
      <vt:lpstr>LaborCost</vt:lpstr>
      <vt:lpstr>LaborHoursCarrots</vt:lpstr>
      <vt:lpstr>LaborHoursMesclun</vt:lpstr>
      <vt:lpstr>LaborHoursTomatoes</vt:lpstr>
      <vt:lpstr>LaborHrsPerBedCarrots</vt:lpstr>
      <vt:lpstr>LaborHrsPerBedMesclun</vt:lpstr>
      <vt:lpstr>LaborHrsPerBedTomatoes</vt:lpstr>
      <vt:lpstr>MaxBedsCarrots</vt:lpstr>
      <vt:lpstr>MaxBedsMesclun</vt:lpstr>
      <vt:lpstr>MaxBedsTomatoes</vt:lpstr>
      <vt:lpstr>OwnLaborHours</vt:lpstr>
      <vt:lpstr>OwnLaborHoursUsed</vt:lpstr>
      <vt:lpstr>OwnWageRate</vt:lpstr>
      <vt:lpstr>Profit</vt:lpstr>
      <vt:lpstr>Revenue</vt:lpstr>
      <vt:lpstr>RevenuePerBedCarrots</vt:lpstr>
      <vt:lpstr>RevenuePerBedMesclun</vt:lpstr>
      <vt:lpstr>RevenuePerBedTomatoes</vt:lpstr>
      <vt:lpstr>SeasonWeeks</vt:lpstr>
      <vt:lpstr>TempHoursPerWorker</vt:lpstr>
      <vt:lpstr>TempLaborCapacity</vt:lpstr>
      <vt:lpstr>TempLaborHoursUsed</vt:lpstr>
      <vt:lpstr>TempWageRate</vt:lpstr>
      <vt:lpstr>TempWorkerCount</vt:lpstr>
      <vt:lpstr>TotalBedCap</vt:lpstr>
      <vt:lpstr>TotalBedsPlanted</vt:lpstr>
      <vt:lpstr>TotalCost</vt:lpstr>
      <vt:lpstr>TotalLaborCapacity</vt:lpstr>
      <vt:lpstr>TotalLaborHours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Moore</cp:lastModifiedBy>
  <dcterms:created xsi:type="dcterms:W3CDTF">2026-09-18T03:00:38Z</dcterms:created>
  <dcterms:modified xsi:type="dcterms:W3CDTF">2026-09-25T03:05:36Z</dcterms:modified>
</cp:coreProperties>
</file>