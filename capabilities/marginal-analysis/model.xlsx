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1272" windowWidth="23256" windowHeight="12456" tabRatio="600" firstSheet="0" activeTab="2" autoFilterDateGrouping="1"/>
  </bookViews>
  <sheets>
    <sheet name="Inputs" sheetId="1" state="visible" r:id="rId1"/>
    <sheet name="Calc" sheetId="2" state="visible" r:id="rId2"/>
    <sheet name="Output" sheetId="3" state="visible" r:id="rId3"/>
    <sheet name="MC Schedule" sheetId="4" state="visible" r:id="rId4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  <definedName name="solver_adj" localSheetId="1" hidden="1">Calc!$B$4:$B$6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Calc!$B$4:$B$6</definedName>
    <definedName name="solver_lhs2" localSheetId="1" hidden="1">Calc!$B$4:$B$6</definedName>
    <definedName name="solver_lhs3" localSheetId="1" hidden="1">Calc!$B$5</definedName>
    <definedName name="solver_lhs4" localSheetId="1" hidden="1">Calc!$B$6</definedName>
    <definedName name="solver_lhs5" localSheetId="1" hidden="1">Calc!$B$4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7</definedName>
    <definedName name="solver_nwt" localSheetId="1" hidden="1">1</definedName>
    <definedName name="solver_opt" localSheetId="1" hidden="1">Calc!$B$24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2" localSheetId="1" hidden="1">0</definedName>
    <definedName name="solver_rhs3" localSheetId="1" hidden="1">20</definedName>
    <definedName name="solver_rhs4" localSheetId="1" hidden="1">30</definedName>
    <definedName name="solver_rhs5" localSheetId="1" hidden="1">20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\$#,##0.00"/>
    <numFmt numFmtId="166" formatCode="_(* #,##0.0000_);_(* \(#,##0.0000\);_(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3" fontId="1" fillId="0" borderId="0" pivotButton="0" quotePrefix="0" xfId="0"/>
    <xf numFmtId="0" fontId="0" fillId="0" borderId="0" applyAlignment="1" pivotButton="0" quotePrefix="0" xfId="0">
      <alignment wrapText="1"/>
    </xf>
    <xf numFmtId="165" fontId="1" fillId="0" borderId="0" pivotButton="0" quotePrefix="0" xfId="0"/>
    <xf numFmtId="166" fontId="0" fillId="0" borderId="0" pivotButton="0" quotePrefix="0" xfId="1"/>
    <xf numFmtId="166" fontId="0" fillId="0" borderId="0" pivotButton="0" quotePrefix="0" xfId="1"/>
    <xf numFmtId="0" fontId="3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Tomatoes: MC vs price (standalone)</a:t>
            </a:r>
          </a:p>
        </rich>
      </tx>
    </title>
    <plotArea>
      <lineChart>
        <grouping val="standard"/>
        <ser>
          <idx val="0"/>
          <order val="0"/>
          <tx>
            <strRef>
              <f>'MC Schedule'!F8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Schedule'!$F$10:$F$29</f>
            </numRef>
          </val>
          <smooth val="0"/>
        </ser>
        <ser>
          <idx val="1"/>
          <order val="1"/>
          <tx>
            <strRef>
              <f>'MC Schedule'!G8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Schedule'!$G$10:$G$29</f>
            </numRef>
          </val>
          <smooth val="0"/>
        </ser>
        <ser>
          <idx val="2"/>
          <order val="2"/>
          <tx>
            <strRef>
              <f>'MC Schedule'!H8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Schedule'!$H$10:$H$29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Beds (q)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 per bed</a:t>
                </a:r>
              </a:p>
            </rich>
          </tx>
        </title>
        <numFmt formatCode="\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Carrots: MC vs price (standalone)</a:t>
            </a:r>
          </a:p>
        </rich>
      </tx>
    </title>
    <plotArea>
      <lineChart>
        <grouping val="standard"/>
        <ser>
          <idx val="0"/>
          <order val="0"/>
          <tx>
            <strRef>
              <f>'MC Schedule'!F33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Schedule'!$F$35:$F$54</f>
            </numRef>
          </val>
          <smooth val="0"/>
        </ser>
        <ser>
          <idx val="1"/>
          <order val="1"/>
          <tx>
            <strRef>
              <f>'MC Schedule'!G33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Schedule'!$G$35:$G$54</f>
            </numRef>
          </val>
          <smooth val="0"/>
        </ser>
        <ser>
          <idx val="2"/>
          <order val="2"/>
          <tx>
            <strRef>
              <f>'MC Schedule'!H33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Schedule'!$H$35:$H$54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Beds (q)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 per bed</a:t>
                </a:r>
              </a:p>
            </rich>
          </tx>
        </title>
        <numFmt formatCode="\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Mesclun: MC vs price (standalone)</a:t>
            </a:r>
          </a:p>
        </rich>
      </tx>
    </title>
    <plotArea>
      <lineChart>
        <grouping val="standard"/>
        <ser>
          <idx val="0"/>
          <order val="0"/>
          <tx>
            <strRef>
              <f>'MC Schedule'!F58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Schedule'!$A$60:$A$89</f>
            </numRef>
          </cat>
          <val>
            <numRef>
              <f>'MC Schedule'!$F$60:$F$89</f>
            </numRef>
          </val>
          <smooth val="0"/>
        </ser>
        <ser>
          <idx val="1"/>
          <order val="1"/>
          <tx>
            <strRef>
              <f>'MC Schedule'!G58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Schedule'!$A$60:$A$89</f>
            </numRef>
          </cat>
          <val>
            <numRef>
              <f>'MC Schedule'!$G$60:$G$89</f>
            </numRef>
          </val>
          <smooth val="0"/>
        </ser>
        <ser>
          <idx val="2"/>
          <order val="2"/>
          <tx>
            <strRef>
              <f>'MC Schedule'!H58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Schedule'!$A$60:$A$89</f>
            </numRef>
          </cat>
          <val>
            <numRef>
              <f>'MC Schedule'!$H$60:$H$89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Beds (q)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 per bed</a:t>
                </a:r>
              </a:p>
            </rich>
          </tx>
        </title>
        <numFmt formatCode="\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46</row>
      <rowOff>0</rowOff>
    </from>
    <ext cx="61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F9" sqref="F9"/>
    </sheetView>
  </sheetViews>
  <sheetFormatPr baseColWidth="8" defaultRowHeight="14.4"/>
  <cols>
    <col width="30.88671875" customWidth="1" min="1" max="1"/>
    <col width="12" customWidth="1" min="2" max="2"/>
    <col width="14" customWidth="1" min="3" max="3"/>
    <col width="16" customWidth="1" min="4" max="4"/>
    <col width="18" customWidth="1" min="5" max="5"/>
    <col width="20" customWidth="1" min="6" max="6"/>
  </cols>
  <sheetData>
    <row r="1">
      <c r="A1" s="1" t="inlineStr">
        <is>
          <t>Perfect Competition — Inputs</t>
        </is>
      </c>
    </row>
    <row r="3">
      <c r="A3" s="1" t="inlineStr">
        <is>
          <t>Crop assumptions</t>
        </is>
      </c>
    </row>
    <row r="4">
      <c r="A4" s="1" t="inlineStr">
        <is>
          <t>Crop</t>
        </is>
      </c>
      <c r="B4" s="1" t="inlineStr">
        <is>
          <t>Max beds</t>
        </is>
      </c>
      <c r="C4" s="1" t="inlineStr">
        <is>
          <t>Revenue/bed</t>
        </is>
      </c>
      <c r="D4" s="1" t="inlineStr">
        <is>
          <t>Labor hrs/wk/bed</t>
        </is>
      </c>
      <c r="E4" s="1" t="inlineStr">
        <is>
          <t>Fertilizer cost/bed</t>
        </is>
      </c>
      <c r="F4" s="1" t="inlineStr">
        <is>
          <t>Diminishing returns/bed</t>
        </is>
      </c>
    </row>
    <row r="5">
      <c r="A5" t="inlineStr">
        <is>
          <t>Tomatoes</t>
        </is>
      </c>
      <c r="B5" s="2" t="n">
        <v>20</v>
      </c>
      <c r="C5" s="3" t="n">
        <v>8800</v>
      </c>
      <c r="D5" s="3" t="n">
        <v>2.5</v>
      </c>
      <c r="E5" s="3" t="n">
        <v>880</v>
      </c>
      <c r="F5" s="11" t="n">
        <v>0.1</v>
      </c>
    </row>
    <row r="6">
      <c r="A6" t="inlineStr">
        <is>
          <t>Carrots</t>
        </is>
      </c>
      <c r="B6" s="2" t="n">
        <v>20</v>
      </c>
      <c r="C6" s="3" t="n">
        <v>2094</v>
      </c>
      <c r="D6" s="3">
        <f>2.5/3</f>
        <v/>
      </c>
      <c r="E6" s="3" t="n">
        <v>440</v>
      </c>
      <c r="F6" s="11" t="n">
        <v>0.025</v>
      </c>
    </row>
    <row r="7">
      <c r="A7" t="inlineStr">
        <is>
          <t>Mesclun</t>
        </is>
      </c>
      <c r="B7" s="2" t="n">
        <v>30</v>
      </c>
      <c r="C7" s="3" t="n">
        <v>2700</v>
      </c>
      <c r="D7" s="3" t="n">
        <v>1.25</v>
      </c>
      <c r="E7" s="3" t="n">
        <v>880</v>
      </c>
      <c r="F7" s="11" t="n">
        <v>0.0125</v>
      </c>
    </row>
    <row r="9">
      <c r="A9" s="1" t="inlineStr">
        <is>
          <t>Farm-wide assumptions</t>
        </is>
      </c>
    </row>
    <row r="10">
      <c r="A10" s="1" t="inlineStr">
        <is>
          <t>Total beds available</t>
        </is>
      </c>
      <c r="B10" s="2" t="n">
        <v>64</v>
      </c>
    </row>
    <row r="11">
      <c r="A11" s="1" t="inlineStr">
        <is>
          <t>Fixed costs for the season</t>
        </is>
      </c>
      <c r="B11" s="4" t="n">
        <v>20000</v>
      </c>
    </row>
    <row r="12">
      <c r="A12" s="1" t="inlineStr">
        <is>
          <t>Length of growing season (weeks)</t>
        </is>
      </c>
      <c r="B12" s="2" t="n">
        <v>36</v>
      </c>
    </row>
    <row r="13">
      <c r="A13" s="1" t="inlineStr">
        <is>
          <t>Your own labor hours available</t>
        </is>
      </c>
      <c r="B13" s="2" t="n">
        <v>720</v>
      </c>
    </row>
    <row r="14">
      <c r="A14" s="1" t="inlineStr">
        <is>
          <t>Your labor rate ($/hr)</t>
        </is>
      </c>
      <c r="B14" s="3">
        <f>25000/720</f>
        <v/>
      </c>
    </row>
    <row r="15">
      <c r="A15" s="1" t="inlineStr">
        <is>
          <t>Max number of temp workers</t>
        </is>
      </c>
      <c r="B15" s="2" t="n">
        <v>4</v>
      </c>
    </row>
    <row r="16">
      <c r="A16" s="1" t="inlineStr">
        <is>
          <t>Max hours per temp worker</t>
        </is>
      </c>
      <c r="B16" s="2" t="n">
        <v>1440</v>
      </c>
    </row>
    <row r="17">
      <c r="A17" s="1" t="inlineStr">
        <is>
          <t>Temp labor rate ($/hr)</t>
        </is>
      </c>
      <c r="B17" s="3">
        <f>25000/1440</f>
        <v/>
      </c>
    </row>
    <row r="19">
      <c r="A19" t="inlineStr">
        <is>
          <t>Labor(q) for q beds of one crop = q * (hrs/wk/bed) * SeasonWeeks * (1 + diminishing returns/bed)^q</t>
        </is>
      </c>
    </row>
    <row r="20">
      <c r="A20" t="inlineStr">
        <is>
          <t>Own labor hours are exhausted before any temp labor hours are used.</t>
        </is>
      </c>
    </row>
    <row r="21">
      <c r="A21" t="inlineStr">
        <is>
          <t>Beds must be planted whole and with a single crop; no partial or split beds.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C30" sqref="C30"/>
    </sheetView>
  </sheetViews>
  <sheetFormatPr baseColWidth="8" defaultRowHeight="14.4"/>
  <cols>
    <col width="25.77734375" customWidth="1" min="1" max="1"/>
    <col width="13.109375" customWidth="1" min="2" max="2"/>
    <col width="40" customWidth="1" min="3" max="3"/>
  </cols>
  <sheetData>
    <row r="1">
      <c r="A1" s="1" t="inlineStr">
        <is>
          <t>Perfect Competition — Calc</t>
        </is>
      </c>
    </row>
    <row r="3">
      <c r="A3" s="1" t="inlineStr">
        <is>
          <t>Decision variables (Solver: By Changing Variable Cells)</t>
        </is>
      </c>
    </row>
    <row r="4">
      <c r="A4" s="1" t="inlineStr">
        <is>
          <t>Beds — Tomatoes</t>
        </is>
      </c>
      <c r="B4" s="2" t="n">
        <v>10</v>
      </c>
      <c r="C4" t="inlineStr">
        <is>
          <t>Solver's solution (maximizes Profit) — rerun Solver if any input changes</t>
        </is>
      </c>
    </row>
    <row r="5">
      <c r="A5" s="1" t="inlineStr">
        <is>
          <t>Beds — Carrots</t>
        </is>
      </c>
      <c r="B5" s="2" t="n">
        <v>20</v>
      </c>
    </row>
    <row r="6">
      <c r="A6" s="1" t="inlineStr">
        <is>
          <t>Beds — Mesclun</t>
        </is>
      </c>
      <c r="B6" s="2" t="n">
        <v>30</v>
      </c>
    </row>
    <row r="8">
      <c r="A8" s="1" t="inlineStr">
        <is>
          <t>Labor hours by crop</t>
        </is>
      </c>
    </row>
    <row r="9">
      <c r="A9" t="inlineStr">
        <is>
          <t>Labor hours — Tomatoes</t>
        </is>
      </c>
      <c r="B9" s="3">
        <f>BedsTomatoes*LaborHrsPerBedTomatoes*SeasonWeeks*(1+DimReturnsTomatoes)^BedsTomatoes</f>
        <v/>
      </c>
    </row>
    <row r="10">
      <c r="A10" t="inlineStr">
        <is>
          <t>Labor hours — Carrots</t>
        </is>
      </c>
      <c r="B10" s="3">
        <f>BedsCarrots*LaborHrsPerBedCarrots*SeasonWeeks*(1+DimReturnsCarrots)^BedsCarrots</f>
        <v/>
      </c>
    </row>
    <row r="11">
      <c r="A11" t="inlineStr">
        <is>
          <t>Labor hours — Mesclun</t>
        </is>
      </c>
      <c r="B11" s="3">
        <f>BedsMesclun*LaborHrsPerBedMesclun*SeasonWeeks*(1+DimReturnsMesclun)^BedsMesclun</f>
        <v/>
      </c>
    </row>
    <row r="12">
      <c r="A12" s="1" t="inlineStr">
        <is>
          <t>Total labor hours</t>
        </is>
      </c>
      <c r="B12" s="5">
        <f>LaborHoursTomatoes+LaborHoursCarrots+LaborHoursMesclun</f>
        <v/>
      </c>
    </row>
    <row r="14">
      <c r="A14" s="1" t="inlineStr">
        <is>
          <t>Labor cost (own hours first, then temp)</t>
        </is>
      </c>
    </row>
    <row r="15">
      <c r="A15" t="inlineStr">
        <is>
          <t>Own labor hours used</t>
        </is>
      </c>
      <c r="B15" s="3">
        <f>MIN(TotalLaborHours,OwnLaborHours)</f>
        <v/>
      </c>
    </row>
    <row r="16">
      <c r="A16" t="inlineStr">
        <is>
          <t>Temp labor hours used</t>
        </is>
      </c>
      <c r="B16" s="3">
        <f>MAX(TotalLaborHours-OwnLaborHours,0)</f>
        <v/>
      </c>
    </row>
    <row r="17">
      <c r="A17" t="inlineStr">
        <is>
          <t>Temp labor capacity</t>
        </is>
      </c>
      <c r="B17" s="3">
        <f>TempWorkerCount*TempHoursPerWorker</f>
        <v/>
      </c>
    </row>
    <row r="18">
      <c r="A18" s="1" t="inlineStr">
        <is>
          <t>Labor cost</t>
        </is>
      </c>
      <c r="B18" s="6">
        <f>OwnLaborHoursUsed*OwnWageRate+TempLaborHoursUsed*TempWageRate</f>
        <v/>
      </c>
    </row>
    <row r="20">
      <c r="A20" s="1" t="inlineStr">
        <is>
          <t>Revenue and other costs</t>
        </is>
      </c>
    </row>
    <row r="21">
      <c r="A21" t="inlineStr">
        <is>
          <t>Revenue</t>
        </is>
      </c>
      <c r="B21" s="4">
        <f>BedsTomatoes*RevenuePerBedTomatoes+BedsCarrots*RevenuePerBedCarrots+BedsMesclun*RevenuePerBedMesclun</f>
        <v/>
      </c>
    </row>
    <row r="22">
      <c r="A22" t="inlineStr">
        <is>
          <t>Fertilizer cost</t>
        </is>
      </c>
      <c r="B22" s="4">
        <f>BedsTomatoes*FertilizerPerBedTomatoes+BedsCarrots*FertilizerPerBedCarrots+BedsMesclun*FertilizerPerBedMesclun</f>
        <v/>
      </c>
    </row>
    <row r="23">
      <c r="A23" s="1" t="inlineStr">
        <is>
          <t>Total cost</t>
        </is>
      </c>
      <c r="B23" s="6">
        <f>FixedCosts+FertilizerCost+LaborCost</f>
        <v/>
      </c>
    </row>
    <row r="24">
      <c r="A24" s="1" t="inlineStr">
        <is>
          <t>Profit</t>
        </is>
      </c>
      <c r="B24" s="9">
        <f>Revenue-TotalCost</f>
        <v/>
      </c>
    </row>
    <row r="26">
      <c r="A26" s="1" t="inlineStr">
        <is>
          <t>Constraint checks (Solver: Subject to the Constraints)</t>
        </is>
      </c>
    </row>
    <row r="27">
      <c r="A27" t="inlineStr">
        <is>
          <t>Total beds planted</t>
        </is>
      </c>
      <c r="B27" s="2">
        <f>BedsTomatoes+BedsCarrots+BedsMesclun</f>
        <v/>
      </c>
      <c r="C27" t="inlineStr">
        <is>
          <t>&lt;= TotalBedCap (64)</t>
        </is>
      </c>
    </row>
    <row r="28">
      <c r="A28" t="inlineStr">
        <is>
          <t>Total labor hours vs. capacity</t>
        </is>
      </c>
      <c r="B28" s="3">
        <f>OwnLaborHours+TempLaborCapacity</f>
        <v/>
      </c>
      <c r="C28" t="inlineStr">
        <is>
          <t>TotalLaborHours &lt;= this (6,480 hrs)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F1" sqref="F1"/>
    </sheetView>
  </sheetViews>
  <sheetFormatPr baseColWidth="8" defaultRowHeight="14.4"/>
  <cols>
    <col width="27.33203125" customWidth="1" min="1" max="1"/>
    <col width="10.77734375" customWidth="1" min="2" max="2"/>
  </cols>
  <sheetData>
    <row r="1">
      <c r="A1" s="1" t="inlineStr">
        <is>
          <t>Perfect Competition — Output</t>
        </is>
      </c>
    </row>
    <row r="3">
      <c r="A3" s="1" t="inlineStr">
        <is>
          <t>Solver setup</t>
        </is>
      </c>
    </row>
    <row r="4">
      <c r="A4" s="1" t="inlineStr">
        <is>
          <t>Set Objective</t>
        </is>
      </c>
      <c r="B4" t="inlineStr">
        <is>
          <t>Calc!$B$24  (Profit)</t>
        </is>
      </c>
    </row>
    <row r="5">
      <c r="A5" s="1" t="inlineStr">
        <is>
          <t>To</t>
        </is>
      </c>
      <c r="B5" t="inlineStr">
        <is>
          <t>Max</t>
        </is>
      </c>
    </row>
    <row r="6">
      <c r="A6" s="1" t="inlineStr">
        <is>
          <t>By Changing Variable Cells</t>
        </is>
      </c>
      <c r="B6" t="inlineStr">
        <is>
          <t>Calc!$B$4:$B$6  (BedsTomatoes, BedsCarrots, BedsMesclun)</t>
        </is>
      </c>
    </row>
    <row r="7">
      <c r="A7" s="1" t="inlineStr">
        <is>
          <t>Constraint 1</t>
        </is>
      </c>
      <c r="B7" t="inlineStr">
        <is>
          <t>Calc!$B$4 &lt;= 20  (MaxBedsTomatoes)</t>
        </is>
      </c>
    </row>
    <row r="8">
      <c r="A8" s="1" t="inlineStr">
        <is>
          <t>Constraint 2</t>
        </is>
      </c>
      <c r="B8" t="inlineStr">
        <is>
          <t>Calc!$B$5 &lt;= 20  (MaxBedsCarrots)</t>
        </is>
      </c>
    </row>
    <row r="9">
      <c r="A9" s="1" t="inlineStr">
        <is>
          <t>Constraint 3</t>
        </is>
      </c>
      <c r="B9" t="inlineStr">
        <is>
          <t>Calc!$B$6 &lt;= 30  (MaxBedsMesclun)</t>
        </is>
      </c>
    </row>
    <row r="10">
      <c r="A10" s="1" t="inlineStr">
        <is>
          <t>Constraint 4</t>
        </is>
      </c>
      <c r="B10" t="inlineStr">
        <is>
          <t>Calc!$B$27 &lt;= 64  (TotalBedsPlanted &lt;= TotalBedCap)</t>
        </is>
      </c>
    </row>
    <row r="11">
      <c r="A11" s="1" t="inlineStr">
        <is>
          <t>Constraint 5</t>
        </is>
      </c>
      <c r="B11" t="inlineStr">
        <is>
          <t>Calc!$B$12 &lt;= Calc!$B$28  (TotalLaborHours &lt;= TotalLaborCapacity)</t>
        </is>
      </c>
    </row>
    <row r="12">
      <c r="A12" s="1" t="inlineStr">
        <is>
          <t>Constraint 6</t>
        </is>
      </c>
      <c r="B12" t="inlineStr">
        <is>
          <t>Calc!$B$4:$B$6 = integer</t>
        </is>
      </c>
    </row>
    <row r="13">
      <c r="A13" s="1" t="inlineStr">
        <is>
          <t>Constraint 7</t>
        </is>
      </c>
      <c r="B13" t="inlineStr">
        <is>
          <t>Calc!$B$4:$B$6 &gt;= 0</t>
        </is>
      </c>
    </row>
    <row r="14" ht="43.2" customHeight="1">
      <c r="A14" s="1" t="inlineStr">
        <is>
          <t>Solving Method</t>
        </is>
      </c>
      <c r="B14" s="8" t="inlineStr">
        <is>
          <t>Try GRG Nonlinear first; switch to Evolutionary if it stalls or returns a different answer from different starting beds (the exponential diminishing-returns term and the MIN/MAX wage tiers make this non-smooth, so GRG can settle on a local optimum).</t>
        </is>
      </c>
    </row>
    <row r="15">
      <c r="A15" s="1" t="inlineStr">
        <is>
          <t>Options</t>
        </is>
      </c>
      <c r="B15" t="inlineStr">
        <is>
          <t>Check "Make Unconstrained Variables Non-Negative"</t>
        </is>
      </c>
    </row>
    <row r="17">
      <c r="A17" s="1" t="inlineStr">
        <is>
          <t>Current values (Calc sheet — update after running Solver)</t>
        </is>
      </c>
    </row>
    <row r="18">
      <c r="A18" t="inlineStr">
        <is>
          <t>Beds — Tomatoes</t>
        </is>
      </c>
      <c r="B18" s="2">
        <f>BedsTomatoes</f>
        <v/>
      </c>
    </row>
    <row r="19">
      <c r="A19" t="inlineStr">
        <is>
          <t>Beds — Carrots</t>
        </is>
      </c>
      <c r="B19" s="2">
        <f>BedsCarrots</f>
        <v/>
      </c>
    </row>
    <row r="20">
      <c r="A20" t="inlineStr">
        <is>
          <t>Beds — Mesclun</t>
        </is>
      </c>
      <c r="B20" s="2">
        <f>BedsMesclun</f>
        <v/>
      </c>
    </row>
    <row r="21">
      <c r="A21" s="1" t="inlineStr">
        <is>
          <t>Total beds planted</t>
        </is>
      </c>
      <c r="B21" s="7">
        <f>TotalBedsPlanted</f>
        <v/>
      </c>
    </row>
    <row r="22">
      <c r="A22" t="inlineStr">
        <is>
          <t>Total labor hours</t>
        </is>
      </c>
      <c r="B22" s="3">
        <f>TotalLaborHours</f>
        <v/>
      </c>
    </row>
    <row r="23">
      <c r="A23" t="inlineStr">
        <is>
          <t>Revenue</t>
        </is>
      </c>
      <c r="B23" s="4">
        <f>Revenue</f>
        <v/>
      </c>
    </row>
    <row r="24">
      <c r="A24" t="inlineStr">
        <is>
          <t>Total cost</t>
        </is>
      </c>
      <c r="B24" s="4">
        <f>TotalCost</f>
        <v/>
      </c>
    </row>
    <row r="25">
      <c r="A25" s="1" t="inlineStr">
        <is>
          <t>Profit</t>
        </is>
      </c>
      <c r="B25" s="6">
        <f>Profit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2" t="inlineStr">
        <is>
          <t>Perfect Competition — MC Schedule</t>
        </is>
      </c>
    </row>
    <row r="2">
      <c r="A2" t="inlineStr">
        <is>
          <t>Marginal cost, average variable cost and price for each bed of each crop, with that crop planted alone (standalone curve).</t>
        </is>
      </c>
    </row>
    <row r="3">
      <c r="A3" t="inlineStr">
        <is>
          <t>Standalone means the crop gets all of the farmer's OwnLaborHours first, then temp labor; this is where the MC dip comes from.</t>
        </is>
      </c>
    </row>
    <row r="4">
      <c r="A4" t="inlineStr">
        <is>
          <t>At the solved mix (Calc), total labor is far past OwnLaborHours, so every marginal hour there is paid at TempWageRate.</t>
        </is>
      </c>
    </row>
    <row r="5">
      <c r="A5" t="inlineStr">
        <is>
          <t>Variable cost = labor cost + fertilizer. MC = change in variable cost from the previous bed. FixedCosts enter only Standalone profit.</t>
        </is>
      </c>
    </row>
    <row r="7">
      <c r="A7" s="12" t="inlineStr">
        <is>
          <t>Tomatoes</t>
        </is>
      </c>
    </row>
    <row r="8">
      <c r="A8" s="12" t="inlineStr">
        <is>
          <t>Beds (q)</t>
        </is>
      </c>
      <c r="B8" s="12" t="inlineStr">
        <is>
          <t>Labor hours</t>
        </is>
      </c>
      <c r="C8" s="12" t="inlineStr">
        <is>
          <t>Labor cost</t>
        </is>
      </c>
      <c r="D8" s="12" t="inlineStr">
        <is>
          <t>Fertilizer cost</t>
        </is>
      </c>
      <c r="E8" s="12" t="inlineStr">
        <is>
          <t>Variable cost</t>
        </is>
      </c>
      <c r="F8" s="12" t="inlineStr">
        <is>
          <t>MC</t>
        </is>
      </c>
      <c r="G8" s="12" t="inlineStr">
        <is>
          <t>AVC</t>
        </is>
      </c>
      <c r="H8" s="12" t="inlineStr">
        <is>
          <t>Price</t>
        </is>
      </c>
      <c r="I8" s="12" t="inlineStr">
        <is>
          <t>Price − MC</t>
        </is>
      </c>
      <c r="J8" s="12" t="inlineStr">
        <is>
          <t>Standalone profit</t>
        </is>
      </c>
    </row>
    <row r="9">
      <c r="A9" s="2" t="n">
        <v>0</v>
      </c>
      <c r="B9" s="3">
        <f>A9*LaborHrsPerBedTomatoes*SeasonWeeks*(1+DimReturnsTomatoes)^A9</f>
        <v/>
      </c>
      <c r="C9" s="4">
        <f>MIN(B9,OwnLaborHours)*OwnWageRate+MAX(B9-OwnLaborHours,0)*TempWageRate</f>
        <v/>
      </c>
      <c r="D9" s="4">
        <f>A9*FertilizerPerBedTomatoes</f>
        <v/>
      </c>
      <c r="E9" s="4">
        <f>C9+D9</f>
        <v/>
      </c>
      <c r="H9" s="4">
        <f>RevenuePerBedTomatoes</f>
        <v/>
      </c>
      <c r="J9" s="4">
        <f>A9*H9-E9-FixedCosts</f>
        <v/>
      </c>
    </row>
    <row r="10">
      <c r="A10" s="2" t="n">
        <v>1</v>
      </c>
      <c r="B10" s="3">
        <f>A10*LaborHrsPerBedTomatoes*SeasonWeeks*(1+DimReturnsTomatoes)^A10</f>
        <v/>
      </c>
      <c r="C10" s="4">
        <f>MIN(B10,OwnLaborHours)*OwnWageRate+MAX(B10-OwnLaborHours,0)*TempWageRate</f>
        <v/>
      </c>
      <c r="D10" s="4">
        <f>A10*FertilizerPerBedTomatoes</f>
        <v/>
      </c>
      <c r="E10" s="4">
        <f>C10+D10</f>
        <v/>
      </c>
      <c r="F10" s="4">
        <f>E10-E9</f>
        <v/>
      </c>
      <c r="G10" s="4">
        <f>E10/A10</f>
        <v/>
      </c>
      <c r="H10" s="4">
        <f>RevenuePerBedTomatoes</f>
        <v/>
      </c>
      <c r="I10" s="4">
        <f>H10-F10</f>
        <v/>
      </c>
      <c r="J10" s="4">
        <f>A10*H10-E10-FixedCosts</f>
        <v/>
      </c>
    </row>
    <row r="11">
      <c r="A11" s="2" t="n">
        <v>2</v>
      </c>
      <c r="B11" s="3">
        <f>A11*LaborHrsPerBedTomatoes*SeasonWeeks*(1+DimReturnsTomatoes)^A11</f>
        <v/>
      </c>
      <c r="C11" s="4">
        <f>MIN(B11,OwnLaborHours)*OwnWageRate+MAX(B11-OwnLaborHours,0)*TempWageRate</f>
        <v/>
      </c>
      <c r="D11" s="4">
        <f>A11*FertilizerPerBedTomatoes</f>
        <v/>
      </c>
      <c r="E11" s="4">
        <f>C11+D11</f>
        <v/>
      </c>
      <c r="F11" s="4">
        <f>E11-E10</f>
        <v/>
      </c>
      <c r="G11" s="4">
        <f>E11/A11</f>
        <v/>
      </c>
      <c r="H11" s="4">
        <f>RevenuePerBedTomatoes</f>
        <v/>
      </c>
      <c r="I11" s="4">
        <f>H11-F11</f>
        <v/>
      </c>
      <c r="J11" s="4">
        <f>A11*H11-E11-FixedCosts</f>
        <v/>
      </c>
    </row>
    <row r="12">
      <c r="A12" s="2" t="n">
        <v>3</v>
      </c>
      <c r="B12" s="3">
        <f>A12*LaborHrsPerBedTomatoes*SeasonWeeks*(1+DimReturnsTomatoes)^A12</f>
        <v/>
      </c>
      <c r="C12" s="4">
        <f>MIN(B12,OwnLaborHours)*OwnWageRate+MAX(B12-OwnLaborHours,0)*TempWageRate</f>
        <v/>
      </c>
      <c r="D12" s="4">
        <f>A12*FertilizerPerBedTomatoes</f>
        <v/>
      </c>
      <c r="E12" s="4">
        <f>C12+D12</f>
        <v/>
      </c>
      <c r="F12" s="4">
        <f>E12-E11</f>
        <v/>
      </c>
      <c r="G12" s="4">
        <f>E12/A12</f>
        <v/>
      </c>
      <c r="H12" s="4">
        <f>RevenuePerBedTomatoes</f>
        <v/>
      </c>
      <c r="I12" s="4">
        <f>H12-F12</f>
        <v/>
      </c>
      <c r="J12" s="4">
        <f>A12*H12-E12-FixedCosts</f>
        <v/>
      </c>
    </row>
    <row r="13">
      <c r="A13" s="2" t="n">
        <v>4</v>
      </c>
      <c r="B13" s="3">
        <f>A13*LaborHrsPerBedTomatoes*SeasonWeeks*(1+DimReturnsTomatoes)^A13</f>
        <v/>
      </c>
      <c r="C13" s="4">
        <f>MIN(B13,OwnLaborHours)*OwnWageRate+MAX(B13-OwnLaborHours,0)*TempWageRate</f>
        <v/>
      </c>
      <c r="D13" s="4">
        <f>A13*FertilizerPerBedTomatoes</f>
        <v/>
      </c>
      <c r="E13" s="4">
        <f>C13+D13</f>
        <v/>
      </c>
      <c r="F13" s="4">
        <f>E13-E12</f>
        <v/>
      </c>
      <c r="G13" s="4">
        <f>E13/A13</f>
        <v/>
      </c>
      <c r="H13" s="4">
        <f>RevenuePerBedTomatoes</f>
        <v/>
      </c>
      <c r="I13" s="4">
        <f>H13-F13</f>
        <v/>
      </c>
      <c r="J13" s="4">
        <f>A13*H13-E13-FixedCosts</f>
        <v/>
      </c>
    </row>
    <row r="14">
      <c r="A14" s="2" t="n">
        <v>5</v>
      </c>
      <c r="B14" s="3">
        <f>A14*LaborHrsPerBedTomatoes*SeasonWeeks*(1+DimReturnsTomatoes)^A14</f>
        <v/>
      </c>
      <c r="C14" s="4">
        <f>MIN(B14,OwnLaborHours)*OwnWageRate+MAX(B14-OwnLaborHours,0)*TempWageRate</f>
        <v/>
      </c>
      <c r="D14" s="4">
        <f>A14*FertilizerPerBedTomatoes</f>
        <v/>
      </c>
      <c r="E14" s="4">
        <f>C14+D14</f>
        <v/>
      </c>
      <c r="F14" s="4">
        <f>E14-E13</f>
        <v/>
      </c>
      <c r="G14" s="4">
        <f>E14/A14</f>
        <v/>
      </c>
      <c r="H14" s="4">
        <f>RevenuePerBedTomatoes</f>
        <v/>
      </c>
      <c r="I14" s="4">
        <f>H14-F14</f>
        <v/>
      </c>
      <c r="J14" s="4">
        <f>A14*H14-E14-FixedCosts</f>
        <v/>
      </c>
    </row>
    <row r="15">
      <c r="A15" s="2" t="n">
        <v>6</v>
      </c>
      <c r="B15" s="3">
        <f>A15*LaborHrsPerBedTomatoes*SeasonWeeks*(1+DimReturnsTomatoes)^A15</f>
        <v/>
      </c>
      <c r="C15" s="4">
        <f>MIN(B15,OwnLaborHours)*OwnWageRate+MAX(B15-OwnLaborHours,0)*TempWageRate</f>
        <v/>
      </c>
      <c r="D15" s="4">
        <f>A15*FertilizerPerBedTomatoes</f>
        <v/>
      </c>
      <c r="E15" s="4">
        <f>C15+D15</f>
        <v/>
      </c>
      <c r="F15" s="4">
        <f>E15-E14</f>
        <v/>
      </c>
      <c r="G15" s="4">
        <f>E15/A15</f>
        <v/>
      </c>
      <c r="H15" s="4">
        <f>RevenuePerBedTomatoes</f>
        <v/>
      </c>
      <c r="I15" s="4">
        <f>H15-F15</f>
        <v/>
      </c>
      <c r="J15" s="4">
        <f>A15*H15-E15-FixedCosts</f>
        <v/>
      </c>
    </row>
    <row r="16">
      <c r="A16" s="2" t="n">
        <v>7</v>
      </c>
      <c r="B16" s="3">
        <f>A16*LaborHrsPerBedTomatoes*SeasonWeeks*(1+DimReturnsTomatoes)^A16</f>
        <v/>
      </c>
      <c r="C16" s="4">
        <f>MIN(B16,OwnLaborHours)*OwnWageRate+MAX(B16-OwnLaborHours,0)*TempWageRate</f>
        <v/>
      </c>
      <c r="D16" s="4">
        <f>A16*FertilizerPerBedTomatoes</f>
        <v/>
      </c>
      <c r="E16" s="4">
        <f>C16+D16</f>
        <v/>
      </c>
      <c r="F16" s="4">
        <f>E16-E15</f>
        <v/>
      </c>
      <c r="G16" s="4">
        <f>E16/A16</f>
        <v/>
      </c>
      <c r="H16" s="4">
        <f>RevenuePerBedTomatoes</f>
        <v/>
      </c>
      <c r="I16" s="4">
        <f>H16-F16</f>
        <v/>
      </c>
      <c r="J16" s="4">
        <f>A16*H16-E16-FixedCosts</f>
        <v/>
      </c>
    </row>
    <row r="17">
      <c r="A17" s="2" t="n">
        <v>8</v>
      </c>
      <c r="B17" s="3">
        <f>A17*LaborHrsPerBedTomatoes*SeasonWeeks*(1+DimReturnsTomatoes)^A17</f>
        <v/>
      </c>
      <c r="C17" s="4">
        <f>MIN(B17,OwnLaborHours)*OwnWageRate+MAX(B17-OwnLaborHours,0)*TempWageRate</f>
        <v/>
      </c>
      <c r="D17" s="4">
        <f>A17*FertilizerPerBedTomatoes</f>
        <v/>
      </c>
      <c r="E17" s="4">
        <f>C17+D17</f>
        <v/>
      </c>
      <c r="F17" s="4">
        <f>E17-E16</f>
        <v/>
      </c>
      <c r="G17" s="4">
        <f>E17/A17</f>
        <v/>
      </c>
      <c r="H17" s="4">
        <f>RevenuePerBedTomatoes</f>
        <v/>
      </c>
      <c r="I17" s="4">
        <f>H17-F17</f>
        <v/>
      </c>
      <c r="J17" s="4">
        <f>A17*H17-E17-FixedCosts</f>
        <v/>
      </c>
    </row>
    <row r="18">
      <c r="A18" s="2" t="n">
        <v>9</v>
      </c>
      <c r="B18" s="3">
        <f>A18*LaborHrsPerBedTomatoes*SeasonWeeks*(1+DimReturnsTomatoes)^A18</f>
        <v/>
      </c>
      <c r="C18" s="4">
        <f>MIN(B18,OwnLaborHours)*OwnWageRate+MAX(B18-OwnLaborHours,0)*TempWageRate</f>
        <v/>
      </c>
      <c r="D18" s="4">
        <f>A18*FertilizerPerBedTomatoes</f>
        <v/>
      </c>
      <c r="E18" s="4">
        <f>C18+D18</f>
        <v/>
      </c>
      <c r="F18" s="4">
        <f>E18-E17</f>
        <v/>
      </c>
      <c r="G18" s="4">
        <f>E18/A18</f>
        <v/>
      </c>
      <c r="H18" s="4">
        <f>RevenuePerBedTomatoes</f>
        <v/>
      </c>
      <c r="I18" s="4">
        <f>H18-F18</f>
        <v/>
      </c>
      <c r="J18" s="4">
        <f>A18*H18-E18-FixedCosts</f>
        <v/>
      </c>
    </row>
    <row r="19">
      <c r="A19" s="2" t="n">
        <v>10</v>
      </c>
      <c r="B19" s="3">
        <f>A19*LaborHrsPerBedTomatoes*SeasonWeeks*(1+DimReturnsTomatoes)^A19</f>
        <v/>
      </c>
      <c r="C19" s="4">
        <f>MIN(B19,OwnLaborHours)*OwnWageRate+MAX(B19-OwnLaborHours,0)*TempWageRate</f>
        <v/>
      </c>
      <c r="D19" s="4">
        <f>A19*FertilizerPerBedTomatoes</f>
        <v/>
      </c>
      <c r="E19" s="4">
        <f>C19+D19</f>
        <v/>
      </c>
      <c r="F19" s="4">
        <f>E19-E18</f>
        <v/>
      </c>
      <c r="G19" s="4">
        <f>E19/A19</f>
        <v/>
      </c>
      <c r="H19" s="4">
        <f>RevenuePerBedTomatoes</f>
        <v/>
      </c>
      <c r="I19" s="4">
        <f>H19-F19</f>
        <v/>
      </c>
      <c r="J19" s="4">
        <f>A19*H19-E19-FixedCosts</f>
        <v/>
      </c>
    </row>
    <row r="20">
      <c r="A20" s="2" t="n">
        <v>11</v>
      </c>
      <c r="B20" s="3">
        <f>A20*LaborHrsPerBedTomatoes*SeasonWeeks*(1+DimReturnsTomatoes)^A20</f>
        <v/>
      </c>
      <c r="C20" s="4">
        <f>MIN(B20,OwnLaborHours)*OwnWageRate+MAX(B20-OwnLaborHours,0)*TempWageRate</f>
        <v/>
      </c>
      <c r="D20" s="4">
        <f>A20*FertilizerPerBedTomatoes</f>
        <v/>
      </c>
      <c r="E20" s="4">
        <f>C20+D20</f>
        <v/>
      </c>
      <c r="F20" s="4">
        <f>E20-E19</f>
        <v/>
      </c>
      <c r="G20" s="4">
        <f>E20/A20</f>
        <v/>
      </c>
      <c r="H20" s="4">
        <f>RevenuePerBedTomatoes</f>
        <v/>
      </c>
      <c r="I20" s="4">
        <f>H20-F20</f>
        <v/>
      </c>
      <c r="J20" s="4">
        <f>A20*H20-E20-FixedCosts</f>
        <v/>
      </c>
    </row>
    <row r="21">
      <c r="A21" s="2" t="n">
        <v>12</v>
      </c>
      <c r="B21" s="3">
        <f>A21*LaborHrsPerBedTomatoes*SeasonWeeks*(1+DimReturnsTomatoes)^A21</f>
        <v/>
      </c>
      <c r="C21" s="4">
        <f>MIN(B21,OwnLaborHours)*OwnWageRate+MAX(B21-OwnLaborHours,0)*TempWageRate</f>
        <v/>
      </c>
      <c r="D21" s="4">
        <f>A21*FertilizerPerBedTomatoes</f>
        <v/>
      </c>
      <c r="E21" s="4">
        <f>C21+D21</f>
        <v/>
      </c>
      <c r="F21" s="4">
        <f>E21-E20</f>
        <v/>
      </c>
      <c r="G21" s="4">
        <f>E21/A21</f>
        <v/>
      </c>
      <c r="H21" s="4">
        <f>RevenuePerBedTomatoes</f>
        <v/>
      </c>
      <c r="I21" s="4">
        <f>H21-F21</f>
        <v/>
      </c>
      <c r="J21" s="4">
        <f>A21*H21-E21-FixedCosts</f>
        <v/>
      </c>
    </row>
    <row r="22">
      <c r="A22" s="2" t="n">
        <v>13</v>
      </c>
      <c r="B22" s="3">
        <f>A22*LaborHrsPerBedTomatoes*SeasonWeeks*(1+DimReturnsTomatoes)^A22</f>
        <v/>
      </c>
      <c r="C22" s="4">
        <f>MIN(B22,OwnLaborHours)*OwnWageRate+MAX(B22-OwnLaborHours,0)*TempWageRate</f>
        <v/>
      </c>
      <c r="D22" s="4">
        <f>A22*FertilizerPerBedTomatoes</f>
        <v/>
      </c>
      <c r="E22" s="4">
        <f>C22+D22</f>
        <v/>
      </c>
      <c r="F22" s="4">
        <f>E22-E21</f>
        <v/>
      </c>
      <c r="G22" s="4">
        <f>E22/A22</f>
        <v/>
      </c>
      <c r="H22" s="4">
        <f>RevenuePerBedTomatoes</f>
        <v/>
      </c>
      <c r="I22" s="4">
        <f>H22-F22</f>
        <v/>
      </c>
      <c r="J22" s="4">
        <f>A22*H22-E22-FixedCosts</f>
        <v/>
      </c>
    </row>
    <row r="23">
      <c r="A23" s="2" t="n">
        <v>14</v>
      </c>
      <c r="B23" s="3">
        <f>A23*LaborHrsPerBedTomatoes*SeasonWeeks*(1+DimReturnsTomatoes)^A23</f>
        <v/>
      </c>
      <c r="C23" s="4">
        <f>MIN(B23,OwnLaborHours)*OwnWageRate+MAX(B23-OwnLaborHours,0)*TempWageRate</f>
        <v/>
      </c>
      <c r="D23" s="4">
        <f>A23*FertilizerPerBedTomatoes</f>
        <v/>
      </c>
      <c r="E23" s="4">
        <f>C23+D23</f>
        <v/>
      </c>
      <c r="F23" s="4">
        <f>E23-E22</f>
        <v/>
      </c>
      <c r="G23" s="4">
        <f>E23/A23</f>
        <v/>
      </c>
      <c r="H23" s="4">
        <f>RevenuePerBedTomatoes</f>
        <v/>
      </c>
      <c r="I23" s="4">
        <f>H23-F23</f>
        <v/>
      </c>
      <c r="J23" s="4">
        <f>A23*H23-E23-FixedCosts</f>
        <v/>
      </c>
    </row>
    <row r="24">
      <c r="A24" s="2" t="n">
        <v>15</v>
      </c>
      <c r="B24" s="3">
        <f>A24*LaborHrsPerBedTomatoes*SeasonWeeks*(1+DimReturnsTomatoes)^A24</f>
        <v/>
      </c>
      <c r="C24" s="4">
        <f>MIN(B24,OwnLaborHours)*OwnWageRate+MAX(B24-OwnLaborHours,0)*TempWageRate</f>
        <v/>
      </c>
      <c r="D24" s="4">
        <f>A24*FertilizerPerBedTomatoes</f>
        <v/>
      </c>
      <c r="E24" s="4">
        <f>C24+D24</f>
        <v/>
      </c>
      <c r="F24" s="4">
        <f>E24-E23</f>
        <v/>
      </c>
      <c r="G24" s="4">
        <f>E24/A24</f>
        <v/>
      </c>
      <c r="H24" s="4">
        <f>RevenuePerBedTomatoes</f>
        <v/>
      </c>
      <c r="I24" s="4">
        <f>H24-F24</f>
        <v/>
      </c>
      <c r="J24" s="4">
        <f>A24*H24-E24-FixedCosts</f>
        <v/>
      </c>
    </row>
    <row r="25">
      <c r="A25" s="2" t="n">
        <v>16</v>
      </c>
      <c r="B25" s="3">
        <f>A25*LaborHrsPerBedTomatoes*SeasonWeeks*(1+DimReturnsTomatoes)^A25</f>
        <v/>
      </c>
      <c r="C25" s="4">
        <f>MIN(B25,OwnLaborHours)*OwnWageRate+MAX(B25-OwnLaborHours,0)*TempWageRate</f>
        <v/>
      </c>
      <c r="D25" s="4">
        <f>A25*FertilizerPerBedTomatoes</f>
        <v/>
      </c>
      <c r="E25" s="4">
        <f>C25+D25</f>
        <v/>
      </c>
      <c r="F25" s="4">
        <f>E25-E24</f>
        <v/>
      </c>
      <c r="G25" s="4">
        <f>E25/A25</f>
        <v/>
      </c>
      <c r="H25" s="4">
        <f>RevenuePerBedTomatoes</f>
        <v/>
      </c>
      <c r="I25" s="4">
        <f>H25-F25</f>
        <v/>
      </c>
      <c r="J25" s="4">
        <f>A25*H25-E25-FixedCosts</f>
        <v/>
      </c>
    </row>
    <row r="26">
      <c r="A26" s="2" t="n">
        <v>17</v>
      </c>
      <c r="B26" s="3">
        <f>A26*LaborHrsPerBedTomatoes*SeasonWeeks*(1+DimReturnsTomatoes)^A26</f>
        <v/>
      </c>
      <c r="C26" s="4">
        <f>MIN(B26,OwnLaborHours)*OwnWageRate+MAX(B26-OwnLaborHours,0)*TempWageRate</f>
        <v/>
      </c>
      <c r="D26" s="4">
        <f>A26*FertilizerPerBedTomatoes</f>
        <v/>
      </c>
      <c r="E26" s="4">
        <f>C26+D26</f>
        <v/>
      </c>
      <c r="F26" s="4">
        <f>E26-E25</f>
        <v/>
      </c>
      <c r="G26" s="4">
        <f>E26/A26</f>
        <v/>
      </c>
      <c r="H26" s="4">
        <f>RevenuePerBedTomatoes</f>
        <v/>
      </c>
      <c r="I26" s="4">
        <f>H26-F26</f>
        <v/>
      </c>
      <c r="J26" s="4">
        <f>A26*H26-E26-FixedCosts</f>
        <v/>
      </c>
    </row>
    <row r="27">
      <c r="A27" s="2" t="n">
        <v>18</v>
      </c>
      <c r="B27" s="3">
        <f>A27*LaborHrsPerBedTomatoes*SeasonWeeks*(1+DimReturnsTomatoes)^A27</f>
        <v/>
      </c>
      <c r="C27" s="4">
        <f>MIN(B27,OwnLaborHours)*OwnWageRate+MAX(B27-OwnLaborHours,0)*TempWageRate</f>
        <v/>
      </c>
      <c r="D27" s="4">
        <f>A27*FertilizerPerBedTomatoes</f>
        <v/>
      </c>
      <c r="E27" s="4">
        <f>C27+D27</f>
        <v/>
      </c>
      <c r="F27" s="4">
        <f>E27-E26</f>
        <v/>
      </c>
      <c r="G27" s="4">
        <f>E27/A27</f>
        <v/>
      </c>
      <c r="H27" s="4">
        <f>RevenuePerBedTomatoes</f>
        <v/>
      </c>
      <c r="I27" s="4">
        <f>H27-F27</f>
        <v/>
      </c>
      <c r="J27" s="4">
        <f>A27*H27-E27-FixedCosts</f>
        <v/>
      </c>
    </row>
    <row r="28">
      <c r="A28" s="2" t="n">
        <v>19</v>
      </c>
      <c r="B28" s="3">
        <f>A28*LaborHrsPerBedTomatoes*SeasonWeeks*(1+DimReturnsTomatoes)^A28</f>
        <v/>
      </c>
      <c r="C28" s="4">
        <f>MIN(B28,OwnLaborHours)*OwnWageRate+MAX(B28-OwnLaborHours,0)*TempWageRate</f>
        <v/>
      </c>
      <c r="D28" s="4">
        <f>A28*FertilizerPerBedTomatoes</f>
        <v/>
      </c>
      <c r="E28" s="4">
        <f>C28+D28</f>
        <v/>
      </c>
      <c r="F28" s="4">
        <f>E28-E27</f>
        <v/>
      </c>
      <c r="G28" s="4">
        <f>E28/A28</f>
        <v/>
      </c>
      <c r="H28" s="4">
        <f>RevenuePerBedTomatoes</f>
        <v/>
      </c>
      <c r="I28" s="4">
        <f>H28-F28</f>
        <v/>
      </c>
      <c r="J28" s="4">
        <f>A28*H28-E28-FixedCosts</f>
        <v/>
      </c>
    </row>
    <row r="29">
      <c r="A29" s="2" t="n">
        <v>20</v>
      </c>
      <c r="B29" s="3">
        <f>A29*LaborHrsPerBedTomatoes*SeasonWeeks*(1+DimReturnsTomatoes)^A29</f>
        <v/>
      </c>
      <c r="C29" s="4">
        <f>MIN(B29,OwnLaborHours)*OwnWageRate+MAX(B29-OwnLaborHours,0)*TempWageRate</f>
        <v/>
      </c>
      <c r="D29" s="4">
        <f>A29*FertilizerPerBedTomatoes</f>
        <v/>
      </c>
      <c r="E29" s="4">
        <f>C29+D29</f>
        <v/>
      </c>
      <c r="F29" s="4">
        <f>E29-E28</f>
        <v/>
      </c>
      <c r="G29" s="4">
        <f>E29/A29</f>
        <v/>
      </c>
      <c r="H29" s="4">
        <f>RevenuePerBedTomatoes</f>
        <v/>
      </c>
      <c r="I29" s="4">
        <f>H29-F29</f>
        <v/>
      </c>
      <c r="J29" s="4">
        <f>A29*H29-E29-FixedCosts</f>
        <v/>
      </c>
    </row>
    <row r="32">
      <c r="A32" s="12" t="inlineStr">
        <is>
          <t>Carrots</t>
        </is>
      </c>
    </row>
    <row r="33">
      <c r="A33" s="12" t="inlineStr">
        <is>
          <t>Beds (q)</t>
        </is>
      </c>
      <c r="B33" s="12" t="inlineStr">
        <is>
          <t>Labor hours</t>
        </is>
      </c>
      <c r="C33" s="12" t="inlineStr">
        <is>
          <t>Labor cost</t>
        </is>
      </c>
      <c r="D33" s="12" t="inlineStr">
        <is>
          <t>Fertilizer cost</t>
        </is>
      </c>
      <c r="E33" s="12" t="inlineStr">
        <is>
          <t>Variable cost</t>
        </is>
      </c>
      <c r="F33" s="12" t="inlineStr">
        <is>
          <t>MC</t>
        </is>
      </c>
      <c r="G33" s="12" t="inlineStr">
        <is>
          <t>AVC</t>
        </is>
      </c>
      <c r="H33" s="12" t="inlineStr">
        <is>
          <t>Price</t>
        </is>
      </c>
      <c r="I33" s="12" t="inlineStr">
        <is>
          <t>Price − MC</t>
        </is>
      </c>
      <c r="J33" s="12" t="inlineStr">
        <is>
          <t>Standalone profit</t>
        </is>
      </c>
    </row>
    <row r="34">
      <c r="A34" s="2" t="n">
        <v>0</v>
      </c>
      <c r="B34" s="3">
        <f>A34*LaborHrsPerBedCarrots*SeasonWeeks*(1+DimReturnsCarrots)^A34</f>
        <v/>
      </c>
      <c r="C34" s="4">
        <f>MIN(B34,OwnLaborHours)*OwnWageRate+MAX(B34-OwnLaborHours,0)*TempWageRate</f>
        <v/>
      </c>
      <c r="D34" s="4">
        <f>A34*FertilizerPerBedCarrots</f>
        <v/>
      </c>
      <c r="E34" s="4">
        <f>C34+D34</f>
        <v/>
      </c>
      <c r="H34" s="4">
        <f>RevenuePerBedCarrots</f>
        <v/>
      </c>
      <c r="J34" s="4">
        <f>A34*H34-E34-FixedCosts</f>
        <v/>
      </c>
    </row>
    <row r="35">
      <c r="A35" s="2" t="n">
        <v>1</v>
      </c>
      <c r="B35" s="3">
        <f>A35*LaborHrsPerBedCarrots*SeasonWeeks*(1+DimReturnsCarrots)^A35</f>
        <v/>
      </c>
      <c r="C35" s="4">
        <f>MIN(B35,OwnLaborHours)*OwnWageRate+MAX(B35-OwnLaborHours,0)*TempWageRate</f>
        <v/>
      </c>
      <c r="D35" s="4">
        <f>A35*FertilizerPerBedCarrots</f>
        <v/>
      </c>
      <c r="E35" s="4">
        <f>C35+D35</f>
        <v/>
      </c>
      <c r="F35" s="4">
        <f>E35-E34</f>
        <v/>
      </c>
      <c r="G35" s="4">
        <f>E35/A35</f>
        <v/>
      </c>
      <c r="H35" s="4">
        <f>RevenuePerBedCarrots</f>
        <v/>
      </c>
      <c r="I35" s="4">
        <f>H35-F35</f>
        <v/>
      </c>
      <c r="J35" s="4">
        <f>A35*H35-E35-FixedCosts</f>
        <v/>
      </c>
    </row>
    <row r="36">
      <c r="A36" s="2" t="n">
        <v>2</v>
      </c>
      <c r="B36" s="3">
        <f>A36*LaborHrsPerBedCarrots*SeasonWeeks*(1+DimReturnsCarrots)^A36</f>
        <v/>
      </c>
      <c r="C36" s="4">
        <f>MIN(B36,OwnLaborHours)*OwnWageRate+MAX(B36-OwnLaborHours,0)*TempWageRate</f>
        <v/>
      </c>
      <c r="D36" s="4">
        <f>A36*FertilizerPerBedCarrots</f>
        <v/>
      </c>
      <c r="E36" s="4">
        <f>C36+D36</f>
        <v/>
      </c>
      <c r="F36" s="4">
        <f>E36-E35</f>
        <v/>
      </c>
      <c r="G36" s="4">
        <f>E36/A36</f>
        <v/>
      </c>
      <c r="H36" s="4">
        <f>RevenuePerBedCarrots</f>
        <v/>
      </c>
      <c r="I36" s="4">
        <f>H36-F36</f>
        <v/>
      </c>
      <c r="J36" s="4">
        <f>A36*H36-E36-FixedCosts</f>
        <v/>
      </c>
    </row>
    <row r="37">
      <c r="A37" s="2" t="n">
        <v>3</v>
      </c>
      <c r="B37" s="3">
        <f>A37*LaborHrsPerBedCarrots*SeasonWeeks*(1+DimReturnsCarrots)^A37</f>
        <v/>
      </c>
      <c r="C37" s="4">
        <f>MIN(B37,OwnLaborHours)*OwnWageRate+MAX(B37-OwnLaborHours,0)*TempWageRate</f>
        <v/>
      </c>
      <c r="D37" s="4">
        <f>A37*FertilizerPerBedCarrots</f>
        <v/>
      </c>
      <c r="E37" s="4">
        <f>C37+D37</f>
        <v/>
      </c>
      <c r="F37" s="4">
        <f>E37-E36</f>
        <v/>
      </c>
      <c r="G37" s="4">
        <f>E37/A37</f>
        <v/>
      </c>
      <c r="H37" s="4">
        <f>RevenuePerBedCarrots</f>
        <v/>
      </c>
      <c r="I37" s="4">
        <f>H37-F37</f>
        <v/>
      </c>
      <c r="J37" s="4">
        <f>A37*H37-E37-FixedCosts</f>
        <v/>
      </c>
    </row>
    <row r="38">
      <c r="A38" s="2" t="n">
        <v>4</v>
      </c>
      <c r="B38" s="3">
        <f>A38*LaborHrsPerBedCarrots*SeasonWeeks*(1+DimReturnsCarrots)^A38</f>
        <v/>
      </c>
      <c r="C38" s="4">
        <f>MIN(B38,OwnLaborHours)*OwnWageRate+MAX(B38-OwnLaborHours,0)*TempWageRate</f>
        <v/>
      </c>
      <c r="D38" s="4">
        <f>A38*FertilizerPerBedCarrots</f>
        <v/>
      </c>
      <c r="E38" s="4">
        <f>C38+D38</f>
        <v/>
      </c>
      <c r="F38" s="4">
        <f>E38-E37</f>
        <v/>
      </c>
      <c r="G38" s="4">
        <f>E38/A38</f>
        <v/>
      </c>
      <c r="H38" s="4">
        <f>RevenuePerBedCarrots</f>
        <v/>
      </c>
      <c r="I38" s="4">
        <f>H38-F38</f>
        <v/>
      </c>
      <c r="J38" s="4">
        <f>A38*H38-E38-FixedCosts</f>
        <v/>
      </c>
    </row>
    <row r="39">
      <c r="A39" s="2" t="n">
        <v>5</v>
      </c>
      <c r="B39" s="3">
        <f>A39*LaborHrsPerBedCarrots*SeasonWeeks*(1+DimReturnsCarrots)^A39</f>
        <v/>
      </c>
      <c r="C39" s="4">
        <f>MIN(B39,OwnLaborHours)*OwnWageRate+MAX(B39-OwnLaborHours,0)*TempWageRate</f>
        <v/>
      </c>
      <c r="D39" s="4">
        <f>A39*FertilizerPerBedCarrots</f>
        <v/>
      </c>
      <c r="E39" s="4">
        <f>C39+D39</f>
        <v/>
      </c>
      <c r="F39" s="4">
        <f>E39-E38</f>
        <v/>
      </c>
      <c r="G39" s="4">
        <f>E39/A39</f>
        <v/>
      </c>
      <c r="H39" s="4">
        <f>RevenuePerBedCarrots</f>
        <v/>
      </c>
      <c r="I39" s="4">
        <f>H39-F39</f>
        <v/>
      </c>
      <c r="J39" s="4">
        <f>A39*H39-E39-FixedCosts</f>
        <v/>
      </c>
    </row>
    <row r="40">
      <c r="A40" s="2" t="n">
        <v>6</v>
      </c>
      <c r="B40" s="3">
        <f>A40*LaborHrsPerBedCarrots*SeasonWeeks*(1+DimReturnsCarrots)^A40</f>
        <v/>
      </c>
      <c r="C40" s="4">
        <f>MIN(B40,OwnLaborHours)*OwnWageRate+MAX(B40-OwnLaborHours,0)*TempWageRate</f>
        <v/>
      </c>
      <c r="D40" s="4">
        <f>A40*FertilizerPerBedCarrots</f>
        <v/>
      </c>
      <c r="E40" s="4">
        <f>C40+D40</f>
        <v/>
      </c>
      <c r="F40" s="4">
        <f>E40-E39</f>
        <v/>
      </c>
      <c r="G40" s="4">
        <f>E40/A40</f>
        <v/>
      </c>
      <c r="H40" s="4">
        <f>RevenuePerBedCarrots</f>
        <v/>
      </c>
      <c r="I40" s="4">
        <f>H40-F40</f>
        <v/>
      </c>
      <c r="J40" s="4">
        <f>A40*H40-E40-FixedCosts</f>
        <v/>
      </c>
    </row>
    <row r="41">
      <c r="A41" s="2" t="n">
        <v>7</v>
      </c>
      <c r="B41" s="3">
        <f>A41*LaborHrsPerBedCarrots*SeasonWeeks*(1+DimReturnsCarrots)^A41</f>
        <v/>
      </c>
      <c r="C41" s="4">
        <f>MIN(B41,OwnLaborHours)*OwnWageRate+MAX(B41-OwnLaborHours,0)*TempWageRate</f>
        <v/>
      </c>
      <c r="D41" s="4">
        <f>A41*FertilizerPerBedCarrots</f>
        <v/>
      </c>
      <c r="E41" s="4">
        <f>C41+D41</f>
        <v/>
      </c>
      <c r="F41" s="4">
        <f>E41-E40</f>
        <v/>
      </c>
      <c r="G41" s="4">
        <f>E41/A41</f>
        <v/>
      </c>
      <c r="H41" s="4">
        <f>RevenuePerBedCarrots</f>
        <v/>
      </c>
      <c r="I41" s="4">
        <f>H41-F41</f>
        <v/>
      </c>
      <c r="J41" s="4">
        <f>A41*H41-E41-FixedCosts</f>
        <v/>
      </c>
    </row>
    <row r="42">
      <c r="A42" s="2" t="n">
        <v>8</v>
      </c>
      <c r="B42" s="3">
        <f>A42*LaborHrsPerBedCarrots*SeasonWeeks*(1+DimReturnsCarrots)^A42</f>
        <v/>
      </c>
      <c r="C42" s="4">
        <f>MIN(B42,OwnLaborHours)*OwnWageRate+MAX(B42-OwnLaborHours,0)*TempWageRate</f>
        <v/>
      </c>
      <c r="D42" s="4">
        <f>A42*FertilizerPerBedCarrots</f>
        <v/>
      </c>
      <c r="E42" s="4">
        <f>C42+D42</f>
        <v/>
      </c>
      <c r="F42" s="4">
        <f>E42-E41</f>
        <v/>
      </c>
      <c r="G42" s="4">
        <f>E42/A42</f>
        <v/>
      </c>
      <c r="H42" s="4">
        <f>RevenuePerBedCarrots</f>
        <v/>
      </c>
      <c r="I42" s="4">
        <f>H42-F42</f>
        <v/>
      </c>
      <c r="J42" s="4">
        <f>A42*H42-E42-FixedCosts</f>
        <v/>
      </c>
    </row>
    <row r="43">
      <c r="A43" s="2" t="n">
        <v>9</v>
      </c>
      <c r="B43" s="3">
        <f>A43*LaborHrsPerBedCarrots*SeasonWeeks*(1+DimReturnsCarrots)^A43</f>
        <v/>
      </c>
      <c r="C43" s="4">
        <f>MIN(B43,OwnLaborHours)*OwnWageRate+MAX(B43-OwnLaborHours,0)*TempWageRate</f>
        <v/>
      </c>
      <c r="D43" s="4">
        <f>A43*FertilizerPerBedCarrots</f>
        <v/>
      </c>
      <c r="E43" s="4">
        <f>C43+D43</f>
        <v/>
      </c>
      <c r="F43" s="4">
        <f>E43-E42</f>
        <v/>
      </c>
      <c r="G43" s="4">
        <f>E43/A43</f>
        <v/>
      </c>
      <c r="H43" s="4">
        <f>RevenuePerBedCarrots</f>
        <v/>
      </c>
      <c r="I43" s="4">
        <f>H43-F43</f>
        <v/>
      </c>
      <c r="J43" s="4">
        <f>A43*H43-E43-FixedCosts</f>
        <v/>
      </c>
    </row>
    <row r="44">
      <c r="A44" s="2" t="n">
        <v>10</v>
      </c>
      <c r="B44" s="3">
        <f>A44*LaborHrsPerBedCarrots*SeasonWeeks*(1+DimReturnsCarrots)^A44</f>
        <v/>
      </c>
      <c r="C44" s="4">
        <f>MIN(B44,OwnLaborHours)*OwnWageRate+MAX(B44-OwnLaborHours,0)*TempWageRate</f>
        <v/>
      </c>
      <c r="D44" s="4">
        <f>A44*FertilizerPerBedCarrots</f>
        <v/>
      </c>
      <c r="E44" s="4">
        <f>C44+D44</f>
        <v/>
      </c>
      <c r="F44" s="4">
        <f>E44-E43</f>
        <v/>
      </c>
      <c r="G44" s="4">
        <f>E44/A44</f>
        <v/>
      </c>
      <c r="H44" s="4">
        <f>RevenuePerBedCarrots</f>
        <v/>
      </c>
      <c r="I44" s="4">
        <f>H44-F44</f>
        <v/>
      </c>
      <c r="J44" s="4">
        <f>A44*H44-E44-FixedCosts</f>
        <v/>
      </c>
    </row>
    <row r="45">
      <c r="A45" s="2" t="n">
        <v>11</v>
      </c>
      <c r="B45" s="3">
        <f>A45*LaborHrsPerBedCarrots*SeasonWeeks*(1+DimReturnsCarrots)^A45</f>
        <v/>
      </c>
      <c r="C45" s="4">
        <f>MIN(B45,OwnLaborHours)*OwnWageRate+MAX(B45-OwnLaborHours,0)*TempWageRate</f>
        <v/>
      </c>
      <c r="D45" s="4">
        <f>A45*FertilizerPerBedCarrots</f>
        <v/>
      </c>
      <c r="E45" s="4">
        <f>C45+D45</f>
        <v/>
      </c>
      <c r="F45" s="4">
        <f>E45-E44</f>
        <v/>
      </c>
      <c r="G45" s="4">
        <f>E45/A45</f>
        <v/>
      </c>
      <c r="H45" s="4">
        <f>RevenuePerBedCarrots</f>
        <v/>
      </c>
      <c r="I45" s="4">
        <f>H45-F45</f>
        <v/>
      </c>
      <c r="J45" s="4">
        <f>A45*H45-E45-FixedCosts</f>
        <v/>
      </c>
    </row>
    <row r="46">
      <c r="A46" s="2" t="n">
        <v>12</v>
      </c>
      <c r="B46" s="3">
        <f>A46*LaborHrsPerBedCarrots*SeasonWeeks*(1+DimReturnsCarrots)^A46</f>
        <v/>
      </c>
      <c r="C46" s="4">
        <f>MIN(B46,OwnLaborHours)*OwnWageRate+MAX(B46-OwnLaborHours,0)*TempWageRate</f>
        <v/>
      </c>
      <c r="D46" s="4">
        <f>A46*FertilizerPerBedCarrots</f>
        <v/>
      </c>
      <c r="E46" s="4">
        <f>C46+D46</f>
        <v/>
      </c>
      <c r="F46" s="4">
        <f>E46-E45</f>
        <v/>
      </c>
      <c r="G46" s="4">
        <f>E46/A46</f>
        <v/>
      </c>
      <c r="H46" s="4">
        <f>RevenuePerBedCarrots</f>
        <v/>
      </c>
      <c r="I46" s="4">
        <f>H46-F46</f>
        <v/>
      </c>
      <c r="J46" s="4">
        <f>A46*H46-E46-FixedCosts</f>
        <v/>
      </c>
    </row>
    <row r="47">
      <c r="A47" s="2" t="n">
        <v>13</v>
      </c>
      <c r="B47" s="3">
        <f>A47*LaborHrsPerBedCarrots*SeasonWeeks*(1+DimReturnsCarrots)^A47</f>
        <v/>
      </c>
      <c r="C47" s="4">
        <f>MIN(B47,OwnLaborHours)*OwnWageRate+MAX(B47-OwnLaborHours,0)*TempWageRate</f>
        <v/>
      </c>
      <c r="D47" s="4">
        <f>A47*FertilizerPerBedCarrots</f>
        <v/>
      </c>
      <c r="E47" s="4">
        <f>C47+D47</f>
        <v/>
      </c>
      <c r="F47" s="4">
        <f>E47-E46</f>
        <v/>
      </c>
      <c r="G47" s="4">
        <f>E47/A47</f>
        <v/>
      </c>
      <c r="H47" s="4">
        <f>RevenuePerBedCarrots</f>
        <v/>
      </c>
      <c r="I47" s="4">
        <f>H47-F47</f>
        <v/>
      </c>
      <c r="J47" s="4">
        <f>A47*H47-E47-FixedCosts</f>
        <v/>
      </c>
    </row>
    <row r="48">
      <c r="A48" s="2" t="n">
        <v>14</v>
      </c>
      <c r="B48" s="3">
        <f>A48*LaborHrsPerBedCarrots*SeasonWeeks*(1+DimReturnsCarrots)^A48</f>
        <v/>
      </c>
      <c r="C48" s="4">
        <f>MIN(B48,OwnLaborHours)*OwnWageRate+MAX(B48-OwnLaborHours,0)*TempWageRate</f>
        <v/>
      </c>
      <c r="D48" s="4">
        <f>A48*FertilizerPerBedCarrots</f>
        <v/>
      </c>
      <c r="E48" s="4">
        <f>C48+D48</f>
        <v/>
      </c>
      <c r="F48" s="4">
        <f>E48-E47</f>
        <v/>
      </c>
      <c r="G48" s="4">
        <f>E48/A48</f>
        <v/>
      </c>
      <c r="H48" s="4">
        <f>RevenuePerBedCarrots</f>
        <v/>
      </c>
      <c r="I48" s="4">
        <f>H48-F48</f>
        <v/>
      </c>
      <c r="J48" s="4">
        <f>A48*H48-E48-FixedCosts</f>
        <v/>
      </c>
    </row>
    <row r="49">
      <c r="A49" s="2" t="n">
        <v>15</v>
      </c>
      <c r="B49" s="3">
        <f>A49*LaborHrsPerBedCarrots*SeasonWeeks*(1+DimReturnsCarrots)^A49</f>
        <v/>
      </c>
      <c r="C49" s="4">
        <f>MIN(B49,OwnLaborHours)*OwnWageRate+MAX(B49-OwnLaborHours,0)*TempWageRate</f>
        <v/>
      </c>
      <c r="D49" s="4">
        <f>A49*FertilizerPerBedCarrots</f>
        <v/>
      </c>
      <c r="E49" s="4">
        <f>C49+D49</f>
        <v/>
      </c>
      <c r="F49" s="4">
        <f>E49-E48</f>
        <v/>
      </c>
      <c r="G49" s="4">
        <f>E49/A49</f>
        <v/>
      </c>
      <c r="H49" s="4">
        <f>RevenuePerBedCarrots</f>
        <v/>
      </c>
      <c r="I49" s="4">
        <f>H49-F49</f>
        <v/>
      </c>
      <c r="J49" s="4">
        <f>A49*H49-E49-FixedCosts</f>
        <v/>
      </c>
    </row>
    <row r="50">
      <c r="A50" s="2" t="n">
        <v>16</v>
      </c>
      <c r="B50" s="3">
        <f>A50*LaborHrsPerBedCarrots*SeasonWeeks*(1+DimReturnsCarrots)^A50</f>
        <v/>
      </c>
      <c r="C50" s="4">
        <f>MIN(B50,OwnLaborHours)*OwnWageRate+MAX(B50-OwnLaborHours,0)*TempWageRate</f>
        <v/>
      </c>
      <c r="D50" s="4">
        <f>A50*FertilizerPerBedCarrots</f>
        <v/>
      </c>
      <c r="E50" s="4">
        <f>C50+D50</f>
        <v/>
      </c>
      <c r="F50" s="4">
        <f>E50-E49</f>
        <v/>
      </c>
      <c r="G50" s="4">
        <f>E50/A50</f>
        <v/>
      </c>
      <c r="H50" s="4">
        <f>RevenuePerBedCarrots</f>
        <v/>
      </c>
      <c r="I50" s="4">
        <f>H50-F50</f>
        <v/>
      </c>
      <c r="J50" s="4">
        <f>A50*H50-E50-FixedCosts</f>
        <v/>
      </c>
    </row>
    <row r="51">
      <c r="A51" s="2" t="n">
        <v>17</v>
      </c>
      <c r="B51" s="3">
        <f>A51*LaborHrsPerBedCarrots*SeasonWeeks*(1+DimReturnsCarrots)^A51</f>
        <v/>
      </c>
      <c r="C51" s="4">
        <f>MIN(B51,OwnLaborHours)*OwnWageRate+MAX(B51-OwnLaborHours,0)*TempWageRate</f>
        <v/>
      </c>
      <c r="D51" s="4">
        <f>A51*FertilizerPerBedCarrots</f>
        <v/>
      </c>
      <c r="E51" s="4">
        <f>C51+D51</f>
        <v/>
      </c>
      <c r="F51" s="4">
        <f>E51-E50</f>
        <v/>
      </c>
      <c r="G51" s="4">
        <f>E51/A51</f>
        <v/>
      </c>
      <c r="H51" s="4">
        <f>RevenuePerBedCarrots</f>
        <v/>
      </c>
      <c r="I51" s="4">
        <f>H51-F51</f>
        <v/>
      </c>
      <c r="J51" s="4">
        <f>A51*H51-E51-FixedCosts</f>
        <v/>
      </c>
    </row>
    <row r="52">
      <c r="A52" s="2" t="n">
        <v>18</v>
      </c>
      <c r="B52" s="3">
        <f>A52*LaborHrsPerBedCarrots*SeasonWeeks*(1+DimReturnsCarrots)^A52</f>
        <v/>
      </c>
      <c r="C52" s="4">
        <f>MIN(B52,OwnLaborHours)*OwnWageRate+MAX(B52-OwnLaborHours,0)*TempWageRate</f>
        <v/>
      </c>
      <c r="D52" s="4">
        <f>A52*FertilizerPerBedCarrots</f>
        <v/>
      </c>
      <c r="E52" s="4">
        <f>C52+D52</f>
        <v/>
      </c>
      <c r="F52" s="4">
        <f>E52-E51</f>
        <v/>
      </c>
      <c r="G52" s="4">
        <f>E52/A52</f>
        <v/>
      </c>
      <c r="H52" s="4">
        <f>RevenuePerBedCarrots</f>
        <v/>
      </c>
      <c r="I52" s="4">
        <f>H52-F52</f>
        <v/>
      </c>
      <c r="J52" s="4">
        <f>A52*H52-E52-FixedCosts</f>
        <v/>
      </c>
    </row>
    <row r="53">
      <c r="A53" s="2" t="n">
        <v>19</v>
      </c>
      <c r="B53" s="3">
        <f>A53*LaborHrsPerBedCarrots*SeasonWeeks*(1+DimReturnsCarrots)^A53</f>
        <v/>
      </c>
      <c r="C53" s="4">
        <f>MIN(B53,OwnLaborHours)*OwnWageRate+MAX(B53-OwnLaborHours,0)*TempWageRate</f>
        <v/>
      </c>
      <c r="D53" s="4">
        <f>A53*FertilizerPerBedCarrots</f>
        <v/>
      </c>
      <c r="E53" s="4">
        <f>C53+D53</f>
        <v/>
      </c>
      <c r="F53" s="4">
        <f>E53-E52</f>
        <v/>
      </c>
      <c r="G53" s="4">
        <f>E53/A53</f>
        <v/>
      </c>
      <c r="H53" s="4">
        <f>RevenuePerBedCarrots</f>
        <v/>
      </c>
      <c r="I53" s="4">
        <f>H53-F53</f>
        <v/>
      </c>
      <c r="J53" s="4">
        <f>A53*H53-E53-FixedCosts</f>
        <v/>
      </c>
    </row>
    <row r="54">
      <c r="A54" s="2" t="n">
        <v>20</v>
      </c>
      <c r="B54" s="3">
        <f>A54*LaborHrsPerBedCarrots*SeasonWeeks*(1+DimReturnsCarrots)^A54</f>
        <v/>
      </c>
      <c r="C54" s="4">
        <f>MIN(B54,OwnLaborHours)*OwnWageRate+MAX(B54-OwnLaborHours,0)*TempWageRate</f>
        <v/>
      </c>
      <c r="D54" s="4">
        <f>A54*FertilizerPerBedCarrots</f>
        <v/>
      </c>
      <c r="E54" s="4">
        <f>C54+D54</f>
        <v/>
      </c>
      <c r="F54" s="4">
        <f>E54-E53</f>
        <v/>
      </c>
      <c r="G54" s="4">
        <f>E54/A54</f>
        <v/>
      </c>
      <c r="H54" s="4">
        <f>RevenuePerBedCarrots</f>
        <v/>
      </c>
      <c r="I54" s="4">
        <f>H54-F54</f>
        <v/>
      </c>
      <c r="J54" s="4">
        <f>A54*H54-E54-FixedCosts</f>
        <v/>
      </c>
    </row>
    <row r="57">
      <c r="A57" s="12" t="inlineStr">
        <is>
          <t>Mesclun</t>
        </is>
      </c>
    </row>
    <row r="58">
      <c r="A58" s="12" t="inlineStr">
        <is>
          <t>Beds (q)</t>
        </is>
      </c>
      <c r="B58" s="12" t="inlineStr">
        <is>
          <t>Labor hours</t>
        </is>
      </c>
      <c r="C58" s="12" t="inlineStr">
        <is>
          <t>Labor cost</t>
        </is>
      </c>
      <c r="D58" s="12" t="inlineStr">
        <is>
          <t>Fertilizer cost</t>
        </is>
      </c>
      <c r="E58" s="12" t="inlineStr">
        <is>
          <t>Variable cost</t>
        </is>
      </c>
      <c r="F58" s="12" t="inlineStr">
        <is>
          <t>MC</t>
        </is>
      </c>
      <c r="G58" s="12" t="inlineStr">
        <is>
          <t>AVC</t>
        </is>
      </c>
      <c r="H58" s="12" t="inlineStr">
        <is>
          <t>Price</t>
        </is>
      </c>
      <c r="I58" s="12" t="inlineStr">
        <is>
          <t>Price − MC</t>
        </is>
      </c>
      <c r="J58" s="12" t="inlineStr">
        <is>
          <t>Standalone profit</t>
        </is>
      </c>
    </row>
    <row r="59">
      <c r="A59" s="2" t="n">
        <v>0</v>
      </c>
      <c r="B59" s="3">
        <f>A59*LaborHrsPerBedMesclun*SeasonWeeks*(1+DimReturnsMesclun)^A59</f>
        <v/>
      </c>
      <c r="C59" s="4">
        <f>MIN(B59,OwnLaborHours)*OwnWageRate+MAX(B59-OwnLaborHours,0)*TempWageRate</f>
        <v/>
      </c>
      <c r="D59" s="4">
        <f>A59*FertilizerPerBedMesclun</f>
        <v/>
      </c>
      <c r="E59" s="4">
        <f>C59+D59</f>
        <v/>
      </c>
      <c r="H59" s="4">
        <f>RevenuePerBedMesclun</f>
        <v/>
      </c>
      <c r="J59" s="4">
        <f>A59*H59-E59-FixedCosts</f>
        <v/>
      </c>
    </row>
    <row r="60">
      <c r="A60" s="2" t="n">
        <v>1</v>
      </c>
      <c r="B60" s="3">
        <f>A60*LaborHrsPerBedMesclun*SeasonWeeks*(1+DimReturnsMesclun)^A60</f>
        <v/>
      </c>
      <c r="C60" s="4">
        <f>MIN(B60,OwnLaborHours)*OwnWageRate+MAX(B60-OwnLaborHours,0)*TempWageRate</f>
        <v/>
      </c>
      <c r="D60" s="4">
        <f>A60*FertilizerPerBedMesclun</f>
        <v/>
      </c>
      <c r="E60" s="4">
        <f>C60+D60</f>
        <v/>
      </c>
      <c r="F60" s="4">
        <f>E60-E59</f>
        <v/>
      </c>
      <c r="G60" s="4">
        <f>E60/A60</f>
        <v/>
      </c>
      <c r="H60" s="4">
        <f>RevenuePerBedMesclun</f>
        <v/>
      </c>
      <c r="I60" s="4">
        <f>H60-F60</f>
        <v/>
      </c>
      <c r="J60" s="4">
        <f>A60*H60-E60-FixedCosts</f>
        <v/>
      </c>
    </row>
    <row r="61">
      <c r="A61" s="2" t="n">
        <v>2</v>
      </c>
      <c r="B61" s="3">
        <f>A61*LaborHrsPerBedMesclun*SeasonWeeks*(1+DimReturnsMesclun)^A61</f>
        <v/>
      </c>
      <c r="C61" s="4">
        <f>MIN(B61,OwnLaborHours)*OwnWageRate+MAX(B61-OwnLaborHours,0)*TempWageRate</f>
        <v/>
      </c>
      <c r="D61" s="4">
        <f>A61*FertilizerPerBedMesclun</f>
        <v/>
      </c>
      <c r="E61" s="4">
        <f>C61+D61</f>
        <v/>
      </c>
      <c r="F61" s="4">
        <f>E61-E60</f>
        <v/>
      </c>
      <c r="G61" s="4">
        <f>E61/A61</f>
        <v/>
      </c>
      <c r="H61" s="4">
        <f>RevenuePerBedMesclun</f>
        <v/>
      </c>
      <c r="I61" s="4">
        <f>H61-F61</f>
        <v/>
      </c>
      <c r="J61" s="4">
        <f>A61*H61-E61-FixedCosts</f>
        <v/>
      </c>
    </row>
    <row r="62">
      <c r="A62" s="2" t="n">
        <v>3</v>
      </c>
      <c r="B62" s="3">
        <f>A62*LaborHrsPerBedMesclun*SeasonWeeks*(1+DimReturnsMesclun)^A62</f>
        <v/>
      </c>
      <c r="C62" s="4">
        <f>MIN(B62,OwnLaborHours)*OwnWageRate+MAX(B62-OwnLaborHours,0)*TempWageRate</f>
        <v/>
      </c>
      <c r="D62" s="4">
        <f>A62*FertilizerPerBedMesclun</f>
        <v/>
      </c>
      <c r="E62" s="4">
        <f>C62+D62</f>
        <v/>
      </c>
      <c r="F62" s="4">
        <f>E62-E61</f>
        <v/>
      </c>
      <c r="G62" s="4">
        <f>E62/A62</f>
        <v/>
      </c>
      <c r="H62" s="4">
        <f>RevenuePerBedMesclun</f>
        <v/>
      </c>
      <c r="I62" s="4">
        <f>H62-F62</f>
        <v/>
      </c>
      <c r="J62" s="4">
        <f>A62*H62-E62-FixedCosts</f>
        <v/>
      </c>
    </row>
    <row r="63">
      <c r="A63" s="2" t="n">
        <v>4</v>
      </c>
      <c r="B63" s="3">
        <f>A63*LaborHrsPerBedMesclun*SeasonWeeks*(1+DimReturnsMesclun)^A63</f>
        <v/>
      </c>
      <c r="C63" s="4">
        <f>MIN(B63,OwnLaborHours)*OwnWageRate+MAX(B63-OwnLaborHours,0)*TempWageRate</f>
        <v/>
      </c>
      <c r="D63" s="4">
        <f>A63*FertilizerPerBedMesclun</f>
        <v/>
      </c>
      <c r="E63" s="4">
        <f>C63+D63</f>
        <v/>
      </c>
      <c r="F63" s="4">
        <f>E63-E62</f>
        <v/>
      </c>
      <c r="G63" s="4">
        <f>E63/A63</f>
        <v/>
      </c>
      <c r="H63" s="4">
        <f>RevenuePerBedMesclun</f>
        <v/>
      </c>
      <c r="I63" s="4">
        <f>H63-F63</f>
        <v/>
      </c>
      <c r="J63" s="4">
        <f>A63*H63-E63-FixedCosts</f>
        <v/>
      </c>
    </row>
    <row r="64">
      <c r="A64" s="2" t="n">
        <v>5</v>
      </c>
      <c r="B64" s="3">
        <f>A64*LaborHrsPerBedMesclun*SeasonWeeks*(1+DimReturnsMesclun)^A64</f>
        <v/>
      </c>
      <c r="C64" s="4">
        <f>MIN(B64,OwnLaborHours)*OwnWageRate+MAX(B64-OwnLaborHours,0)*TempWageRate</f>
        <v/>
      </c>
      <c r="D64" s="4">
        <f>A64*FertilizerPerBedMesclun</f>
        <v/>
      </c>
      <c r="E64" s="4">
        <f>C64+D64</f>
        <v/>
      </c>
      <c r="F64" s="4">
        <f>E64-E63</f>
        <v/>
      </c>
      <c r="G64" s="4">
        <f>E64/A64</f>
        <v/>
      </c>
      <c r="H64" s="4">
        <f>RevenuePerBedMesclun</f>
        <v/>
      </c>
      <c r="I64" s="4">
        <f>H64-F64</f>
        <v/>
      </c>
      <c r="J64" s="4">
        <f>A64*H64-E64-FixedCosts</f>
        <v/>
      </c>
    </row>
    <row r="65">
      <c r="A65" s="2" t="n">
        <v>6</v>
      </c>
      <c r="B65" s="3">
        <f>A65*LaborHrsPerBedMesclun*SeasonWeeks*(1+DimReturnsMesclun)^A65</f>
        <v/>
      </c>
      <c r="C65" s="4">
        <f>MIN(B65,OwnLaborHours)*OwnWageRate+MAX(B65-OwnLaborHours,0)*TempWageRate</f>
        <v/>
      </c>
      <c r="D65" s="4">
        <f>A65*FertilizerPerBedMesclun</f>
        <v/>
      </c>
      <c r="E65" s="4">
        <f>C65+D65</f>
        <v/>
      </c>
      <c r="F65" s="4">
        <f>E65-E64</f>
        <v/>
      </c>
      <c r="G65" s="4">
        <f>E65/A65</f>
        <v/>
      </c>
      <c r="H65" s="4">
        <f>RevenuePerBedMesclun</f>
        <v/>
      </c>
      <c r="I65" s="4">
        <f>H65-F65</f>
        <v/>
      </c>
      <c r="J65" s="4">
        <f>A65*H65-E65-FixedCosts</f>
        <v/>
      </c>
    </row>
    <row r="66">
      <c r="A66" s="2" t="n">
        <v>7</v>
      </c>
      <c r="B66" s="3">
        <f>A66*LaborHrsPerBedMesclun*SeasonWeeks*(1+DimReturnsMesclun)^A66</f>
        <v/>
      </c>
      <c r="C66" s="4">
        <f>MIN(B66,OwnLaborHours)*OwnWageRate+MAX(B66-OwnLaborHours,0)*TempWageRate</f>
        <v/>
      </c>
      <c r="D66" s="4">
        <f>A66*FertilizerPerBedMesclun</f>
        <v/>
      </c>
      <c r="E66" s="4">
        <f>C66+D66</f>
        <v/>
      </c>
      <c r="F66" s="4">
        <f>E66-E65</f>
        <v/>
      </c>
      <c r="G66" s="4">
        <f>E66/A66</f>
        <v/>
      </c>
      <c r="H66" s="4">
        <f>RevenuePerBedMesclun</f>
        <v/>
      </c>
      <c r="I66" s="4">
        <f>H66-F66</f>
        <v/>
      </c>
      <c r="J66" s="4">
        <f>A66*H66-E66-FixedCosts</f>
        <v/>
      </c>
    </row>
    <row r="67">
      <c r="A67" s="2" t="n">
        <v>8</v>
      </c>
      <c r="B67" s="3">
        <f>A67*LaborHrsPerBedMesclun*SeasonWeeks*(1+DimReturnsMesclun)^A67</f>
        <v/>
      </c>
      <c r="C67" s="4">
        <f>MIN(B67,OwnLaborHours)*OwnWageRate+MAX(B67-OwnLaborHours,0)*TempWageRate</f>
        <v/>
      </c>
      <c r="D67" s="4">
        <f>A67*FertilizerPerBedMesclun</f>
        <v/>
      </c>
      <c r="E67" s="4">
        <f>C67+D67</f>
        <v/>
      </c>
      <c r="F67" s="4">
        <f>E67-E66</f>
        <v/>
      </c>
      <c r="G67" s="4">
        <f>E67/A67</f>
        <v/>
      </c>
      <c r="H67" s="4">
        <f>RevenuePerBedMesclun</f>
        <v/>
      </c>
      <c r="I67" s="4">
        <f>H67-F67</f>
        <v/>
      </c>
      <c r="J67" s="4">
        <f>A67*H67-E67-FixedCosts</f>
        <v/>
      </c>
    </row>
    <row r="68">
      <c r="A68" s="2" t="n">
        <v>9</v>
      </c>
      <c r="B68" s="3">
        <f>A68*LaborHrsPerBedMesclun*SeasonWeeks*(1+DimReturnsMesclun)^A68</f>
        <v/>
      </c>
      <c r="C68" s="4">
        <f>MIN(B68,OwnLaborHours)*OwnWageRate+MAX(B68-OwnLaborHours,0)*TempWageRate</f>
        <v/>
      </c>
      <c r="D68" s="4">
        <f>A68*FertilizerPerBedMesclun</f>
        <v/>
      </c>
      <c r="E68" s="4">
        <f>C68+D68</f>
        <v/>
      </c>
      <c r="F68" s="4">
        <f>E68-E67</f>
        <v/>
      </c>
      <c r="G68" s="4">
        <f>E68/A68</f>
        <v/>
      </c>
      <c r="H68" s="4">
        <f>RevenuePerBedMesclun</f>
        <v/>
      </c>
      <c r="I68" s="4">
        <f>H68-F68</f>
        <v/>
      </c>
      <c r="J68" s="4">
        <f>A68*H68-E68-FixedCosts</f>
        <v/>
      </c>
    </row>
    <row r="69">
      <c r="A69" s="2" t="n">
        <v>10</v>
      </c>
      <c r="B69" s="3">
        <f>A69*LaborHrsPerBedMesclun*SeasonWeeks*(1+DimReturnsMesclun)^A69</f>
        <v/>
      </c>
      <c r="C69" s="4">
        <f>MIN(B69,OwnLaborHours)*OwnWageRate+MAX(B69-OwnLaborHours,0)*TempWageRate</f>
        <v/>
      </c>
      <c r="D69" s="4">
        <f>A69*FertilizerPerBedMesclun</f>
        <v/>
      </c>
      <c r="E69" s="4">
        <f>C69+D69</f>
        <v/>
      </c>
      <c r="F69" s="4">
        <f>E69-E68</f>
        <v/>
      </c>
      <c r="G69" s="4">
        <f>E69/A69</f>
        <v/>
      </c>
      <c r="H69" s="4">
        <f>RevenuePerBedMesclun</f>
        <v/>
      </c>
      <c r="I69" s="4">
        <f>H69-F69</f>
        <v/>
      </c>
      <c r="J69" s="4">
        <f>A69*H69-E69-FixedCosts</f>
        <v/>
      </c>
    </row>
    <row r="70">
      <c r="A70" s="2" t="n">
        <v>11</v>
      </c>
      <c r="B70" s="3">
        <f>A70*LaborHrsPerBedMesclun*SeasonWeeks*(1+DimReturnsMesclun)^A70</f>
        <v/>
      </c>
      <c r="C70" s="4">
        <f>MIN(B70,OwnLaborHours)*OwnWageRate+MAX(B70-OwnLaborHours,0)*TempWageRate</f>
        <v/>
      </c>
      <c r="D70" s="4">
        <f>A70*FertilizerPerBedMesclun</f>
        <v/>
      </c>
      <c r="E70" s="4">
        <f>C70+D70</f>
        <v/>
      </c>
      <c r="F70" s="4">
        <f>E70-E69</f>
        <v/>
      </c>
      <c r="G70" s="4">
        <f>E70/A70</f>
        <v/>
      </c>
      <c r="H70" s="4">
        <f>RevenuePerBedMesclun</f>
        <v/>
      </c>
      <c r="I70" s="4">
        <f>H70-F70</f>
        <v/>
      </c>
      <c r="J70" s="4">
        <f>A70*H70-E70-FixedCosts</f>
        <v/>
      </c>
    </row>
    <row r="71">
      <c r="A71" s="2" t="n">
        <v>12</v>
      </c>
      <c r="B71" s="3">
        <f>A71*LaborHrsPerBedMesclun*SeasonWeeks*(1+DimReturnsMesclun)^A71</f>
        <v/>
      </c>
      <c r="C71" s="4">
        <f>MIN(B71,OwnLaborHours)*OwnWageRate+MAX(B71-OwnLaborHours,0)*TempWageRate</f>
        <v/>
      </c>
      <c r="D71" s="4">
        <f>A71*FertilizerPerBedMesclun</f>
        <v/>
      </c>
      <c r="E71" s="4">
        <f>C71+D71</f>
        <v/>
      </c>
      <c r="F71" s="4">
        <f>E71-E70</f>
        <v/>
      </c>
      <c r="G71" s="4">
        <f>E71/A71</f>
        <v/>
      </c>
      <c r="H71" s="4">
        <f>RevenuePerBedMesclun</f>
        <v/>
      </c>
      <c r="I71" s="4">
        <f>H71-F71</f>
        <v/>
      </c>
      <c r="J71" s="4">
        <f>A71*H71-E71-FixedCosts</f>
        <v/>
      </c>
    </row>
    <row r="72">
      <c r="A72" s="2" t="n">
        <v>13</v>
      </c>
      <c r="B72" s="3">
        <f>A72*LaborHrsPerBedMesclun*SeasonWeeks*(1+DimReturnsMesclun)^A72</f>
        <v/>
      </c>
      <c r="C72" s="4">
        <f>MIN(B72,OwnLaborHours)*OwnWageRate+MAX(B72-OwnLaborHours,0)*TempWageRate</f>
        <v/>
      </c>
      <c r="D72" s="4">
        <f>A72*FertilizerPerBedMesclun</f>
        <v/>
      </c>
      <c r="E72" s="4">
        <f>C72+D72</f>
        <v/>
      </c>
      <c r="F72" s="4">
        <f>E72-E71</f>
        <v/>
      </c>
      <c r="G72" s="4">
        <f>E72/A72</f>
        <v/>
      </c>
      <c r="H72" s="4">
        <f>RevenuePerBedMesclun</f>
        <v/>
      </c>
      <c r="I72" s="4">
        <f>H72-F72</f>
        <v/>
      </c>
      <c r="J72" s="4">
        <f>A72*H72-E72-FixedCosts</f>
        <v/>
      </c>
    </row>
    <row r="73">
      <c r="A73" s="2" t="n">
        <v>14</v>
      </c>
      <c r="B73" s="3">
        <f>A73*LaborHrsPerBedMesclun*SeasonWeeks*(1+DimReturnsMesclun)^A73</f>
        <v/>
      </c>
      <c r="C73" s="4">
        <f>MIN(B73,OwnLaborHours)*OwnWageRate+MAX(B73-OwnLaborHours,0)*TempWageRate</f>
        <v/>
      </c>
      <c r="D73" s="4">
        <f>A73*FertilizerPerBedMesclun</f>
        <v/>
      </c>
      <c r="E73" s="4">
        <f>C73+D73</f>
        <v/>
      </c>
      <c r="F73" s="4">
        <f>E73-E72</f>
        <v/>
      </c>
      <c r="G73" s="4">
        <f>E73/A73</f>
        <v/>
      </c>
      <c r="H73" s="4">
        <f>RevenuePerBedMesclun</f>
        <v/>
      </c>
      <c r="I73" s="4">
        <f>H73-F73</f>
        <v/>
      </c>
      <c r="J73" s="4">
        <f>A73*H73-E73-FixedCosts</f>
        <v/>
      </c>
    </row>
    <row r="74">
      <c r="A74" s="2" t="n">
        <v>15</v>
      </c>
      <c r="B74" s="3">
        <f>A74*LaborHrsPerBedMesclun*SeasonWeeks*(1+DimReturnsMesclun)^A74</f>
        <v/>
      </c>
      <c r="C74" s="4">
        <f>MIN(B74,OwnLaborHours)*OwnWageRate+MAX(B74-OwnLaborHours,0)*TempWageRate</f>
        <v/>
      </c>
      <c r="D74" s="4">
        <f>A74*FertilizerPerBedMesclun</f>
        <v/>
      </c>
      <c r="E74" s="4">
        <f>C74+D74</f>
        <v/>
      </c>
      <c r="F74" s="4">
        <f>E74-E73</f>
        <v/>
      </c>
      <c r="G74" s="4">
        <f>E74/A74</f>
        <v/>
      </c>
      <c r="H74" s="4">
        <f>RevenuePerBedMesclun</f>
        <v/>
      </c>
      <c r="I74" s="4">
        <f>H74-F74</f>
        <v/>
      </c>
      <c r="J74" s="4">
        <f>A74*H74-E74-FixedCosts</f>
        <v/>
      </c>
    </row>
    <row r="75">
      <c r="A75" s="2" t="n">
        <v>16</v>
      </c>
      <c r="B75" s="3">
        <f>A75*LaborHrsPerBedMesclun*SeasonWeeks*(1+DimReturnsMesclun)^A75</f>
        <v/>
      </c>
      <c r="C75" s="4">
        <f>MIN(B75,OwnLaborHours)*OwnWageRate+MAX(B75-OwnLaborHours,0)*TempWageRate</f>
        <v/>
      </c>
      <c r="D75" s="4">
        <f>A75*FertilizerPerBedMesclun</f>
        <v/>
      </c>
      <c r="E75" s="4">
        <f>C75+D75</f>
        <v/>
      </c>
      <c r="F75" s="4">
        <f>E75-E74</f>
        <v/>
      </c>
      <c r="G75" s="4">
        <f>E75/A75</f>
        <v/>
      </c>
      <c r="H75" s="4">
        <f>RevenuePerBedMesclun</f>
        <v/>
      </c>
      <c r="I75" s="4">
        <f>H75-F75</f>
        <v/>
      </c>
      <c r="J75" s="4">
        <f>A75*H75-E75-FixedCosts</f>
        <v/>
      </c>
    </row>
    <row r="76">
      <c r="A76" s="2" t="n">
        <v>17</v>
      </c>
      <c r="B76" s="3">
        <f>A76*LaborHrsPerBedMesclun*SeasonWeeks*(1+DimReturnsMesclun)^A76</f>
        <v/>
      </c>
      <c r="C76" s="4">
        <f>MIN(B76,OwnLaborHours)*OwnWageRate+MAX(B76-OwnLaborHours,0)*TempWageRate</f>
        <v/>
      </c>
      <c r="D76" s="4">
        <f>A76*FertilizerPerBedMesclun</f>
        <v/>
      </c>
      <c r="E76" s="4">
        <f>C76+D76</f>
        <v/>
      </c>
      <c r="F76" s="4">
        <f>E76-E75</f>
        <v/>
      </c>
      <c r="G76" s="4">
        <f>E76/A76</f>
        <v/>
      </c>
      <c r="H76" s="4">
        <f>RevenuePerBedMesclun</f>
        <v/>
      </c>
      <c r="I76" s="4">
        <f>H76-F76</f>
        <v/>
      </c>
      <c r="J76" s="4">
        <f>A76*H76-E76-FixedCosts</f>
        <v/>
      </c>
    </row>
    <row r="77">
      <c r="A77" s="2" t="n">
        <v>18</v>
      </c>
      <c r="B77" s="3">
        <f>A77*LaborHrsPerBedMesclun*SeasonWeeks*(1+DimReturnsMesclun)^A77</f>
        <v/>
      </c>
      <c r="C77" s="4">
        <f>MIN(B77,OwnLaborHours)*OwnWageRate+MAX(B77-OwnLaborHours,0)*TempWageRate</f>
        <v/>
      </c>
      <c r="D77" s="4">
        <f>A77*FertilizerPerBedMesclun</f>
        <v/>
      </c>
      <c r="E77" s="4">
        <f>C77+D77</f>
        <v/>
      </c>
      <c r="F77" s="4">
        <f>E77-E76</f>
        <v/>
      </c>
      <c r="G77" s="4">
        <f>E77/A77</f>
        <v/>
      </c>
      <c r="H77" s="4">
        <f>RevenuePerBedMesclun</f>
        <v/>
      </c>
      <c r="I77" s="4">
        <f>H77-F77</f>
        <v/>
      </c>
      <c r="J77" s="4">
        <f>A77*H77-E77-FixedCosts</f>
        <v/>
      </c>
    </row>
    <row r="78">
      <c r="A78" s="2" t="n">
        <v>19</v>
      </c>
      <c r="B78" s="3">
        <f>A78*LaborHrsPerBedMesclun*SeasonWeeks*(1+DimReturnsMesclun)^A78</f>
        <v/>
      </c>
      <c r="C78" s="4">
        <f>MIN(B78,OwnLaborHours)*OwnWageRate+MAX(B78-OwnLaborHours,0)*TempWageRate</f>
        <v/>
      </c>
      <c r="D78" s="4">
        <f>A78*FertilizerPerBedMesclun</f>
        <v/>
      </c>
      <c r="E78" s="4">
        <f>C78+D78</f>
        <v/>
      </c>
      <c r="F78" s="4">
        <f>E78-E77</f>
        <v/>
      </c>
      <c r="G78" s="4">
        <f>E78/A78</f>
        <v/>
      </c>
      <c r="H78" s="4">
        <f>RevenuePerBedMesclun</f>
        <v/>
      </c>
      <c r="I78" s="4">
        <f>H78-F78</f>
        <v/>
      </c>
      <c r="J78" s="4">
        <f>A78*H78-E78-FixedCosts</f>
        <v/>
      </c>
    </row>
    <row r="79">
      <c r="A79" s="2" t="n">
        <v>20</v>
      </c>
      <c r="B79" s="3">
        <f>A79*LaborHrsPerBedMesclun*SeasonWeeks*(1+DimReturnsMesclun)^A79</f>
        <v/>
      </c>
      <c r="C79" s="4">
        <f>MIN(B79,OwnLaborHours)*OwnWageRate+MAX(B79-OwnLaborHours,0)*TempWageRate</f>
        <v/>
      </c>
      <c r="D79" s="4">
        <f>A79*FertilizerPerBedMesclun</f>
        <v/>
      </c>
      <c r="E79" s="4">
        <f>C79+D79</f>
        <v/>
      </c>
      <c r="F79" s="4">
        <f>E79-E78</f>
        <v/>
      </c>
      <c r="G79" s="4">
        <f>E79/A79</f>
        <v/>
      </c>
      <c r="H79" s="4">
        <f>RevenuePerBedMesclun</f>
        <v/>
      </c>
      <c r="I79" s="4">
        <f>H79-F79</f>
        <v/>
      </c>
      <c r="J79" s="4">
        <f>A79*H79-E79-FixedCosts</f>
        <v/>
      </c>
    </row>
    <row r="80">
      <c r="A80" s="2" t="n">
        <v>21</v>
      </c>
      <c r="B80" s="3">
        <f>A80*LaborHrsPerBedMesclun*SeasonWeeks*(1+DimReturnsMesclun)^A80</f>
        <v/>
      </c>
      <c r="C80" s="4">
        <f>MIN(B80,OwnLaborHours)*OwnWageRate+MAX(B80-OwnLaborHours,0)*TempWageRate</f>
        <v/>
      </c>
      <c r="D80" s="4">
        <f>A80*FertilizerPerBedMesclun</f>
        <v/>
      </c>
      <c r="E80" s="4">
        <f>C80+D80</f>
        <v/>
      </c>
      <c r="F80" s="4">
        <f>E80-E79</f>
        <v/>
      </c>
      <c r="G80" s="4">
        <f>E80/A80</f>
        <v/>
      </c>
      <c r="H80" s="4">
        <f>RevenuePerBedMesclun</f>
        <v/>
      </c>
      <c r="I80" s="4">
        <f>H80-F80</f>
        <v/>
      </c>
      <c r="J80" s="4">
        <f>A80*H80-E80-FixedCosts</f>
        <v/>
      </c>
    </row>
    <row r="81">
      <c r="A81" s="2" t="n">
        <v>22</v>
      </c>
      <c r="B81" s="3">
        <f>A81*LaborHrsPerBedMesclun*SeasonWeeks*(1+DimReturnsMesclun)^A81</f>
        <v/>
      </c>
      <c r="C81" s="4">
        <f>MIN(B81,OwnLaborHours)*OwnWageRate+MAX(B81-OwnLaborHours,0)*TempWageRate</f>
        <v/>
      </c>
      <c r="D81" s="4">
        <f>A81*FertilizerPerBedMesclun</f>
        <v/>
      </c>
      <c r="E81" s="4">
        <f>C81+D81</f>
        <v/>
      </c>
      <c r="F81" s="4">
        <f>E81-E80</f>
        <v/>
      </c>
      <c r="G81" s="4">
        <f>E81/A81</f>
        <v/>
      </c>
      <c r="H81" s="4">
        <f>RevenuePerBedMesclun</f>
        <v/>
      </c>
      <c r="I81" s="4">
        <f>H81-F81</f>
        <v/>
      </c>
      <c r="J81" s="4">
        <f>A81*H81-E81-FixedCosts</f>
        <v/>
      </c>
    </row>
    <row r="82">
      <c r="A82" s="2" t="n">
        <v>23</v>
      </c>
      <c r="B82" s="3">
        <f>A82*LaborHrsPerBedMesclun*SeasonWeeks*(1+DimReturnsMesclun)^A82</f>
        <v/>
      </c>
      <c r="C82" s="4">
        <f>MIN(B82,OwnLaborHours)*OwnWageRate+MAX(B82-OwnLaborHours,0)*TempWageRate</f>
        <v/>
      </c>
      <c r="D82" s="4">
        <f>A82*FertilizerPerBedMesclun</f>
        <v/>
      </c>
      <c r="E82" s="4">
        <f>C82+D82</f>
        <v/>
      </c>
      <c r="F82" s="4">
        <f>E82-E81</f>
        <v/>
      </c>
      <c r="G82" s="4">
        <f>E82/A82</f>
        <v/>
      </c>
      <c r="H82" s="4">
        <f>RevenuePerBedMesclun</f>
        <v/>
      </c>
      <c r="I82" s="4">
        <f>H82-F82</f>
        <v/>
      </c>
      <c r="J82" s="4">
        <f>A82*H82-E82-FixedCosts</f>
        <v/>
      </c>
    </row>
    <row r="83">
      <c r="A83" s="2" t="n">
        <v>24</v>
      </c>
      <c r="B83" s="3">
        <f>A83*LaborHrsPerBedMesclun*SeasonWeeks*(1+DimReturnsMesclun)^A83</f>
        <v/>
      </c>
      <c r="C83" s="4">
        <f>MIN(B83,OwnLaborHours)*OwnWageRate+MAX(B83-OwnLaborHours,0)*TempWageRate</f>
        <v/>
      </c>
      <c r="D83" s="4">
        <f>A83*FertilizerPerBedMesclun</f>
        <v/>
      </c>
      <c r="E83" s="4">
        <f>C83+D83</f>
        <v/>
      </c>
      <c r="F83" s="4">
        <f>E83-E82</f>
        <v/>
      </c>
      <c r="G83" s="4">
        <f>E83/A83</f>
        <v/>
      </c>
      <c r="H83" s="4">
        <f>RevenuePerBedMesclun</f>
        <v/>
      </c>
      <c r="I83" s="4">
        <f>H83-F83</f>
        <v/>
      </c>
      <c r="J83" s="4">
        <f>A83*H83-E83-FixedCosts</f>
        <v/>
      </c>
    </row>
    <row r="84">
      <c r="A84" s="2" t="n">
        <v>25</v>
      </c>
      <c r="B84" s="3">
        <f>A84*LaborHrsPerBedMesclun*SeasonWeeks*(1+DimReturnsMesclun)^A84</f>
        <v/>
      </c>
      <c r="C84" s="4">
        <f>MIN(B84,OwnLaborHours)*OwnWageRate+MAX(B84-OwnLaborHours,0)*TempWageRate</f>
        <v/>
      </c>
      <c r="D84" s="4">
        <f>A84*FertilizerPerBedMesclun</f>
        <v/>
      </c>
      <c r="E84" s="4">
        <f>C84+D84</f>
        <v/>
      </c>
      <c r="F84" s="4">
        <f>E84-E83</f>
        <v/>
      </c>
      <c r="G84" s="4">
        <f>E84/A84</f>
        <v/>
      </c>
      <c r="H84" s="4">
        <f>RevenuePerBedMesclun</f>
        <v/>
      </c>
      <c r="I84" s="4">
        <f>H84-F84</f>
        <v/>
      </c>
      <c r="J84" s="4">
        <f>A84*H84-E84-FixedCosts</f>
        <v/>
      </c>
    </row>
    <row r="85">
      <c r="A85" s="2" t="n">
        <v>26</v>
      </c>
      <c r="B85" s="3">
        <f>A85*LaborHrsPerBedMesclun*SeasonWeeks*(1+DimReturnsMesclun)^A85</f>
        <v/>
      </c>
      <c r="C85" s="4">
        <f>MIN(B85,OwnLaborHours)*OwnWageRate+MAX(B85-OwnLaborHours,0)*TempWageRate</f>
        <v/>
      </c>
      <c r="D85" s="4">
        <f>A85*FertilizerPerBedMesclun</f>
        <v/>
      </c>
      <c r="E85" s="4">
        <f>C85+D85</f>
        <v/>
      </c>
      <c r="F85" s="4">
        <f>E85-E84</f>
        <v/>
      </c>
      <c r="G85" s="4">
        <f>E85/A85</f>
        <v/>
      </c>
      <c r="H85" s="4">
        <f>RevenuePerBedMesclun</f>
        <v/>
      </c>
      <c r="I85" s="4">
        <f>H85-F85</f>
        <v/>
      </c>
      <c r="J85" s="4">
        <f>A85*H85-E85-FixedCosts</f>
        <v/>
      </c>
    </row>
    <row r="86">
      <c r="A86" s="2" t="n">
        <v>27</v>
      </c>
      <c r="B86" s="3">
        <f>A86*LaborHrsPerBedMesclun*SeasonWeeks*(1+DimReturnsMesclun)^A86</f>
        <v/>
      </c>
      <c r="C86" s="4">
        <f>MIN(B86,OwnLaborHours)*OwnWageRate+MAX(B86-OwnLaborHours,0)*TempWageRate</f>
        <v/>
      </c>
      <c r="D86" s="4">
        <f>A86*FertilizerPerBedMesclun</f>
        <v/>
      </c>
      <c r="E86" s="4">
        <f>C86+D86</f>
        <v/>
      </c>
      <c r="F86" s="4">
        <f>E86-E85</f>
        <v/>
      </c>
      <c r="G86" s="4">
        <f>E86/A86</f>
        <v/>
      </c>
      <c r="H86" s="4">
        <f>RevenuePerBedMesclun</f>
        <v/>
      </c>
      <c r="I86" s="4">
        <f>H86-F86</f>
        <v/>
      </c>
      <c r="J86" s="4">
        <f>A86*H86-E86-FixedCosts</f>
        <v/>
      </c>
    </row>
    <row r="87">
      <c r="A87" s="2" t="n">
        <v>28</v>
      </c>
      <c r="B87" s="3">
        <f>A87*LaborHrsPerBedMesclun*SeasonWeeks*(1+DimReturnsMesclun)^A87</f>
        <v/>
      </c>
      <c r="C87" s="4">
        <f>MIN(B87,OwnLaborHours)*OwnWageRate+MAX(B87-OwnLaborHours,0)*TempWageRate</f>
        <v/>
      </c>
      <c r="D87" s="4">
        <f>A87*FertilizerPerBedMesclun</f>
        <v/>
      </c>
      <c r="E87" s="4">
        <f>C87+D87</f>
        <v/>
      </c>
      <c r="F87" s="4">
        <f>E87-E86</f>
        <v/>
      </c>
      <c r="G87" s="4">
        <f>E87/A87</f>
        <v/>
      </c>
      <c r="H87" s="4">
        <f>RevenuePerBedMesclun</f>
        <v/>
      </c>
      <c r="I87" s="4">
        <f>H87-F87</f>
        <v/>
      </c>
      <c r="J87" s="4">
        <f>A87*H87-E87-FixedCosts</f>
        <v/>
      </c>
    </row>
    <row r="88">
      <c r="A88" s="2" t="n">
        <v>29</v>
      </c>
      <c r="B88" s="3">
        <f>A88*LaborHrsPerBedMesclun*SeasonWeeks*(1+DimReturnsMesclun)^A88</f>
        <v/>
      </c>
      <c r="C88" s="4">
        <f>MIN(B88,OwnLaborHours)*OwnWageRate+MAX(B88-OwnLaborHours,0)*TempWageRate</f>
        <v/>
      </c>
      <c r="D88" s="4">
        <f>A88*FertilizerPerBedMesclun</f>
        <v/>
      </c>
      <c r="E88" s="4">
        <f>C88+D88</f>
        <v/>
      </c>
      <c r="F88" s="4">
        <f>E88-E87</f>
        <v/>
      </c>
      <c r="G88" s="4">
        <f>E88/A88</f>
        <v/>
      </c>
      <c r="H88" s="4">
        <f>RevenuePerBedMesclun</f>
        <v/>
      </c>
      <c r="I88" s="4">
        <f>H88-F88</f>
        <v/>
      </c>
      <c r="J88" s="4">
        <f>A88*H88-E88-FixedCosts</f>
        <v/>
      </c>
    </row>
    <row r="89">
      <c r="A89" s="2" t="n">
        <v>30</v>
      </c>
      <c r="B89" s="3">
        <f>A89*LaborHrsPerBedMesclun*SeasonWeeks*(1+DimReturnsMesclun)^A89</f>
        <v/>
      </c>
      <c r="C89" s="4">
        <f>MIN(B89,OwnLaborHours)*OwnWageRate+MAX(B89-OwnLaborHours,0)*TempWageRate</f>
        <v/>
      </c>
      <c r="D89" s="4">
        <f>A89*FertilizerPerBedMesclun</f>
        <v/>
      </c>
      <c r="E89" s="4">
        <f>C89+D89</f>
        <v/>
      </c>
      <c r="F89" s="4">
        <f>E89-E88</f>
        <v/>
      </c>
      <c r="G89" s="4">
        <f>E89/A89</f>
        <v/>
      </c>
      <c r="H89" s="4">
        <f>RevenuePerBedMesclun</f>
        <v/>
      </c>
      <c r="I89" s="4">
        <f>H89-F89</f>
        <v/>
      </c>
      <c r="J89" s="4">
        <f>A89*H89-E89-FixedCosts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2026-09-18T03:00:38Z</dcterms:created>
  <dcterms:modified xsi:type="dcterms:W3CDTF">2026-10-02T05:32:08Z</dcterms:modified>
  <cp:lastModifiedBy>Ryan Moore</cp:lastModifiedBy>
</cp:coreProperties>
</file>