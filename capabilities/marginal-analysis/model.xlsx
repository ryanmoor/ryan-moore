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1320" windowWidth="23256" windowHeight="12456" tabRatio="600" firstSheet="0" activeTab="1" autoFilterDateGrouping="1"/>
  </bookViews>
  <sheets>
    <sheet name="Inputs" sheetId="1" state="visible" r:id="rId1"/>
    <sheet name="Calc" sheetId="2" state="visible" r:id="rId2"/>
    <sheet name="Output" sheetId="3" state="visible" r:id="rId3"/>
  </sheets>
  <definedNames>
    <definedName name="BedsCarrots">Calc!$B$5</definedName>
    <definedName name="BedsMesclun">Calc!$B$6</definedName>
    <definedName name="BedsTomatoes">Calc!$B$4</definedName>
    <definedName name="DimReturnsCarrots">Inputs!$F$6</definedName>
    <definedName name="DimReturnsMesclun">Inputs!$F$7</definedName>
    <definedName name="DimReturnsTomatoes">Inputs!$F$5</definedName>
    <definedName name="FertilizerCost">Calc!$B$22</definedName>
    <definedName name="FertilizerPerBedCarrots">Inputs!$E$6</definedName>
    <definedName name="FertilizerPerBedMesclun">Inputs!$E$7</definedName>
    <definedName name="FertilizerPerBedTomatoes">Inputs!$E$5</definedName>
    <definedName name="FixedCosts">Inputs!$B$11</definedName>
    <definedName name="LaborCost">Calc!$B$18</definedName>
    <definedName name="LaborHoursCarrots">Calc!$B$10</definedName>
    <definedName name="LaborHoursMesclun">Calc!$B$11</definedName>
    <definedName name="LaborHoursTomatoes">Calc!$B$9</definedName>
    <definedName name="LaborHrsPerBedCarrots">Inputs!$D$6</definedName>
    <definedName name="LaborHrsPerBedMesclun">Inputs!$D$7</definedName>
    <definedName name="LaborHrsPerBedTomatoes">Inputs!$D$5</definedName>
    <definedName name="MaxBedsCarrots">Inputs!$B$6</definedName>
    <definedName name="MaxBedsMesclun">Inputs!$B$7</definedName>
    <definedName name="MaxBedsTomatoes">Inputs!$B$5</definedName>
    <definedName name="OwnLaborHours">Inputs!$B$13</definedName>
    <definedName name="OwnLaborHoursUsed">Calc!$B$15</definedName>
    <definedName name="OwnWageRate">Inputs!$B$14</definedName>
    <definedName name="Profit">Calc!$B$24</definedName>
    <definedName name="Revenue">Calc!$B$21</definedName>
    <definedName name="RevenuePerBedCarrots">Inputs!$C$6</definedName>
    <definedName name="RevenuePerBedMesclun">Inputs!$C$7</definedName>
    <definedName name="RevenuePerBedTomatoes">Inputs!$C$5</definedName>
    <definedName name="SeasonWeeks">Inputs!$B$12</definedName>
    <definedName name="TempHoursPerWorker">Inputs!$B$16</definedName>
    <definedName name="TempLaborCapacity">Calc!$B$17</definedName>
    <definedName name="TempLaborHoursUsed">Calc!$B$16</definedName>
    <definedName name="TempWageRate">Inputs!$B$17</definedName>
    <definedName name="TempWorkerCount">Inputs!$B$15</definedName>
    <definedName name="TotalBedCap">Inputs!$B$10</definedName>
    <definedName name="TotalBedsPlanted">Calc!$B$27</definedName>
    <definedName name="TotalCost">Calc!$B$23</definedName>
    <definedName name="TotalLaborCapacity">Calc!$B$28</definedName>
    <definedName name="TotalLaborHours">Calc!$B$12</definedName>
    <definedName name="Salary">Inputs!$B$18</definedName>
    <definedName name="solver_adj" localSheetId="1" hidden="1">Calc!$B$4:$B$6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lhs1" localSheetId="1" hidden="1">Calc!$B$4:$B$6</definedName>
    <definedName name="solver_lhs2" localSheetId="1" hidden="1">Calc!$B$4:$B$6</definedName>
    <definedName name="solver_lhs3" localSheetId="1" hidden="1">Calc!$B$5</definedName>
    <definedName name="solver_lhs4" localSheetId="1" hidden="1">Calc!$B$6</definedName>
    <definedName name="solver_lhs5" localSheetId="1" hidden="1">Calc!$B$4</definedName>
    <definedName name="solver_lhs6" localSheetId="1" hidden="1">Calc!$B$27</definedName>
    <definedName name="solver_lhs7" localSheetId="1" hidden="1">Calc!$B$12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7</definedName>
    <definedName name="solver_nwt" localSheetId="1" hidden="1">1</definedName>
    <definedName name="solver_opt" localSheetId="1" hidden="1">Calc!$B$24</definedName>
    <definedName name="solver_pre" localSheetId="1" hidden="1">0.000001</definedName>
    <definedName name="solver_rbv" localSheetId="1" hidden="1">1</definedName>
    <definedName name="solver_rel1" localSheetId="1" hidden="1">4</definedName>
    <definedName name="solver_rel2" localSheetId="1" hidden="1">3</definedName>
    <definedName name="solver_rel3" localSheetId="1" hidden="1">1</definedName>
    <definedName name="solver_rel4" localSheetId="1" hidden="1">1</definedName>
    <definedName name="solver_rel5" localSheetId="1" hidden="1">1</definedName>
    <definedName name="solver_rel6" localSheetId="1" hidden="1">1</definedName>
    <definedName name="solver_rel7" localSheetId="1" hidden="1">1</definedName>
    <definedName name="solver_rhs1" localSheetId="1" hidden="1">"integer"</definedName>
    <definedName name="solver_rhs2" localSheetId="1" hidden="1">0</definedName>
    <definedName name="solver_rhs3" localSheetId="1" hidden="1">20</definedName>
    <definedName name="solver_rhs4" localSheetId="1" hidden="1">30</definedName>
    <definedName name="solver_rhs5" localSheetId="1" hidden="1">20</definedName>
    <definedName name="solver_rhs6" localSheetId="1" hidden="1">64</definedName>
    <definedName name="solver_rhs7" localSheetId="1" hidden="1">TotalLaborCapacity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1</definedName>
    <definedName name="solver_val" localSheetId="1" hidden="1">0</definedName>
    <definedName name="solver_ver" localSheetId="1" hidden="1">3</definedName>
    <definedName name="solver_cvg" localSheetId="2" hidden="1">0.0001</definedName>
    <definedName name="solver_drv" localSheetId="2" hidden="1">2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lhs1" localSheetId="2" hidden="1">Output!$B$6</definedName>
    <definedName name="solver_lhs2" localSheetId="2" hidden="1">Output!$B$6</definedName>
    <definedName name="solver_lhs3" localSheetId="2" hidden="1">Output!$B$6</definedName>
    <definedName name="solver_lhs4" localSheetId="2" hidden="1">Output!$B$6</definedName>
    <definedName name="solver_lhs5" localSheetId="2" hidden="1">Output!$B$6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pre" localSheetId="2" hidden="1">0.000001</definedName>
    <definedName name="solver_rbv" localSheetId="2" hidden="1">2</definedName>
    <definedName name="solver_rel1" localSheetId="2" hidden="1">1</definedName>
    <definedName name="solver_rel2" localSheetId="2" hidden="1">1</definedName>
    <definedName name="solver_rel3" localSheetId="2" hidden="1">1</definedName>
    <definedName name="solver_rel4" localSheetId="2" hidden="1">1</definedName>
    <definedName name="solver_rel5" localSheetId="2" hidden="1">1</definedName>
    <definedName name="solver_rhs1" localSheetId="2" hidden="1">30</definedName>
    <definedName name="solver_rhs2" localSheetId="2" hidden="1">30</definedName>
    <definedName name="solver_rhs3" localSheetId="2" hidden="1">30</definedName>
    <definedName name="solver_rhs4" localSheetId="2" hidden="1">30</definedName>
    <definedName name="solver_rhs5" localSheetId="2" hidden="1">30</definedName>
    <definedName name="solver_rlx" localSheetId="2" hidden="1">2</definedName>
    <definedName name="solver_rsd" localSheetId="2" hidden="1">0</definedName>
    <definedName name="solver_scl" localSheetId="2" hidden="1">2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1</definedName>
    <definedName name="solver_val" localSheetId="2" hidden="1">0</definedName>
    <definedName name="solver_ver" localSheetId="2" hidden="1">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"/>
    <numFmt numFmtId="165" formatCode="$#,##0"/>
  </numFmts>
  <fonts count="3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4" fontId="1" fillId="0" borderId="0" pivotButton="0" quotePrefix="0" xfId="0"/>
    <xf numFmtId="164" fontId="1" fillId="0" borderId="0" pivotButton="0" quotePrefix="0" xfId="0"/>
    <xf numFmtId="3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4.4"/>
  <cols>
    <col width="30.88671875" customWidth="1" min="1" max="1"/>
    <col width="12" customWidth="1" min="2" max="2"/>
    <col width="14" customWidth="1" min="3" max="3"/>
    <col width="16" customWidth="1" min="4" max="4"/>
    <col width="18" customWidth="1" min="5" max="5"/>
    <col width="20" customWidth="1" min="6" max="6"/>
  </cols>
  <sheetData>
    <row r="1">
      <c r="A1" s="1" t="inlineStr">
        <is>
          <t>Perfect Competition — Inputs</t>
        </is>
      </c>
    </row>
    <row r="3">
      <c r="A3" s="1" t="inlineStr">
        <is>
          <t>Crop assumptions</t>
        </is>
      </c>
    </row>
    <row r="4">
      <c r="A4" s="1" t="inlineStr">
        <is>
          <t>Crop</t>
        </is>
      </c>
      <c r="B4" s="1" t="inlineStr">
        <is>
          <t>Max beds</t>
        </is>
      </c>
      <c r="C4" s="1" t="inlineStr">
        <is>
          <t>Revenue/bed</t>
        </is>
      </c>
      <c r="D4" s="1" t="inlineStr">
        <is>
          <t>Labor hrs/wk/bed</t>
        </is>
      </c>
      <c r="E4" s="1" t="inlineStr">
        <is>
          <t>Fertilizer cost/bed</t>
        </is>
      </c>
      <c r="F4" s="1" t="inlineStr">
        <is>
          <t>Diminishing returns/bed</t>
        </is>
      </c>
    </row>
    <row r="5">
      <c r="A5" t="inlineStr">
        <is>
          <t>Tomatoes</t>
        </is>
      </c>
      <c r="B5" s="2" t="n">
        <v>20</v>
      </c>
      <c r="C5" s="3" t="n">
        <v>8800</v>
      </c>
      <c r="D5" s="3" t="n">
        <v>2.5</v>
      </c>
      <c r="E5" s="3" t="n">
        <v>880</v>
      </c>
      <c r="F5" s="4" t="n">
        <v>0.1</v>
      </c>
    </row>
    <row r="6">
      <c r="A6" t="inlineStr">
        <is>
          <t>Carrots</t>
        </is>
      </c>
      <c r="B6" s="2" t="n">
        <v>20</v>
      </c>
      <c r="C6" s="3" t="n">
        <v>2094</v>
      </c>
      <c r="D6" s="3">
        <f>LaborHrsPerBedTomatoes/3</f>
        <v/>
      </c>
      <c r="E6" s="3" t="n">
        <v>440</v>
      </c>
      <c r="F6" s="4" t="n">
        <v>0.025</v>
      </c>
    </row>
    <row r="7">
      <c r="A7" t="inlineStr">
        <is>
          <t>Mesclun</t>
        </is>
      </c>
      <c r="B7" s="2" t="n">
        <v>30</v>
      </c>
      <c r="C7" s="3" t="n">
        <v>2700</v>
      </c>
      <c r="D7" s="3" t="n">
        <v>1.25</v>
      </c>
      <c r="E7" s="3" t="n">
        <v>880</v>
      </c>
      <c r="F7" s="4" t="n">
        <v>0.0125</v>
      </c>
    </row>
    <row r="9">
      <c r="A9" s="1" t="inlineStr">
        <is>
          <t>Farm-wide assumptions</t>
        </is>
      </c>
    </row>
    <row r="10">
      <c r="A10" s="1" t="inlineStr">
        <is>
          <t>Total beds available</t>
        </is>
      </c>
      <c r="B10" s="2" t="n">
        <v>64</v>
      </c>
    </row>
    <row r="11">
      <c r="A11" s="1" t="inlineStr">
        <is>
          <t>Fixed costs for the season</t>
        </is>
      </c>
      <c r="B11" s="5" t="n">
        <v>20000</v>
      </c>
    </row>
    <row r="12">
      <c r="A12" s="1" t="inlineStr">
        <is>
          <t>Length of growing season (weeks)</t>
        </is>
      </c>
      <c r="B12" s="2" t="n">
        <v>36</v>
      </c>
    </row>
    <row r="13">
      <c r="A13" s="1" t="inlineStr">
        <is>
          <t>Your own labor hours available</t>
        </is>
      </c>
      <c r="B13" s="2" t="n">
        <v>720</v>
      </c>
    </row>
    <row r="14">
      <c r="A14" s="1" t="inlineStr">
        <is>
          <t>Your labor rate ($/hr)</t>
        </is>
      </c>
      <c r="B14" s="3">
        <f>Salary/OwnLaborHours</f>
        <v/>
      </c>
    </row>
    <row r="15">
      <c r="A15" s="1" t="inlineStr">
        <is>
          <t>Max number of temp workers</t>
        </is>
      </c>
      <c r="B15" s="2" t="n">
        <v>4</v>
      </c>
    </row>
    <row r="16">
      <c r="A16" s="1" t="inlineStr">
        <is>
          <t>Max hours per temp worker</t>
        </is>
      </c>
      <c r="B16" s="2" t="n">
        <v>1440</v>
      </c>
    </row>
    <row r="17">
      <c r="A17" s="1" t="inlineStr">
        <is>
          <t>Temp labor rate ($/hr)</t>
        </is>
      </c>
      <c r="B17" s="3">
        <f>Salary/TempHoursPerWorker</f>
        <v/>
      </c>
    </row>
    <row r="18">
      <c r="A18" s="10" t="inlineStr">
        <is>
          <t>Farmer's seasonal salary (opportunity cost basis for both wage rates)</t>
        </is>
      </c>
      <c r="B18" s="11" t="n">
        <v>25000</v>
      </c>
    </row>
    <row r="19">
      <c r="A19" t="inlineStr">
        <is>
          <t>Labor(q) for q beds of one crop = q * (hrs/wk/bed) * SeasonWeeks * (1 + diminishing returns/bed)^q</t>
        </is>
      </c>
    </row>
    <row r="20">
      <c r="A20" t="inlineStr">
        <is>
          <t>Own labor hours are exhausted before any temp labor hours are used.</t>
        </is>
      </c>
    </row>
    <row r="21">
      <c r="A21" t="inlineStr">
        <is>
          <t>Beds must be planted whole and with a single crop; no partial or split beds.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tabSelected="1" workbookViewId="0">
      <selection activeCell="A1" sqref="A1"/>
    </sheetView>
  </sheetViews>
  <sheetFormatPr baseColWidth="8" defaultRowHeight="14.4"/>
  <cols>
    <col width="25.77734375" customWidth="1" min="1" max="1"/>
    <col width="13.109375" customWidth="1" min="2" max="2"/>
    <col width="40" customWidth="1" min="3" max="3"/>
  </cols>
  <sheetData>
    <row r="1">
      <c r="A1" s="1" t="inlineStr">
        <is>
          <t>Perfect Competition — Calc</t>
        </is>
      </c>
    </row>
    <row r="3">
      <c r="A3" s="1" t="inlineStr">
        <is>
          <t>Decision variables (Solver: By Changing Variable Cells)</t>
        </is>
      </c>
    </row>
    <row r="4">
      <c r="A4" s="1" t="inlineStr">
        <is>
          <t>Beds — Tomatoes</t>
        </is>
      </c>
      <c r="B4" s="2" t="n">
        <v>10</v>
      </c>
      <c r="C4" t="inlineStr">
        <is>
          <t>starting values — run Solver to find the optimum</t>
        </is>
      </c>
    </row>
    <row r="5">
      <c r="A5" s="1" t="inlineStr">
        <is>
          <t>Beds — Carrots</t>
        </is>
      </c>
      <c r="B5" s="2" t="n">
        <v>20</v>
      </c>
    </row>
    <row r="6">
      <c r="A6" s="1" t="inlineStr">
        <is>
          <t>Beds — Mesclun</t>
        </is>
      </c>
      <c r="B6" s="2" t="n">
        <v>30</v>
      </c>
    </row>
    <row r="8">
      <c r="A8" s="1" t="inlineStr">
        <is>
          <t>Labor hours by crop</t>
        </is>
      </c>
    </row>
    <row r="9">
      <c r="A9" t="inlineStr">
        <is>
          <t>Labor hours — Tomatoes</t>
        </is>
      </c>
      <c r="B9" s="3">
        <f>BedsTomatoes*LaborHrsPerBedTomatoes*SeasonWeeks*(1+DimReturnsTomatoes)^BedsTomatoes</f>
        <v/>
      </c>
    </row>
    <row r="10">
      <c r="A10" t="inlineStr">
        <is>
          <t>Labor hours — Carrots</t>
        </is>
      </c>
      <c r="B10" s="3">
        <f>BedsCarrots*LaborHrsPerBedCarrots*SeasonWeeks*(1+DimReturnsCarrots)^BedsCarrots</f>
        <v/>
      </c>
    </row>
    <row r="11">
      <c r="A11" t="inlineStr">
        <is>
          <t>Labor hours — Mesclun</t>
        </is>
      </c>
      <c r="B11" s="3">
        <f>BedsMesclun*LaborHrsPerBedMesclun*SeasonWeeks*(1+DimReturnsMesclun)^BedsMesclun</f>
        <v/>
      </c>
    </row>
    <row r="12">
      <c r="A12" s="1" t="inlineStr">
        <is>
          <t>Total labor hours</t>
        </is>
      </c>
      <c r="B12" s="6">
        <f>LaborHoursTomatoes+LaborHoursCarrots+LaborHoursMesclun</f>
        <v/>
      </c>
    </row>
    <row r="14">
      <c r="A14" s="1" t="inlineStr">
        <is>
          <t>Labor cost (own hours first, then temp)</t>
        </is>
      </c>
    </row>
    <row r="15">
      <c r="A15" t="inlineStr">
        <is>
          <t>Own labor hours used</t>
        </is>
      </c>
      <c r="B15" s="3">
        <f>MIN(TotalLaborHours,OwnLaborHours)</f>
        <v/>
      </c>
    </row>
    <row r="16">
      <c r="A16" t="inlineStr">
        <is>
          <t>Temp labor hours used</t>
        </is>
      </c>
      <c r="B16" s="3">
        <f>MAX(TotalLaborHours-OwnLaborHours,0)</f>
        <v/>
      </c>
    </row>
    <row r="17">
      <c r="A17" t="inlineStr">
        <is>
          <t>Temp labor capacity</t>
        </is>
      </c>
      <c r="B17" s="3">
        <f>TempWorkerCount*TempHoursPerWorker</f>
        <v/>
      </c>
    </row>
    <row r="18">
      <c r="A18" s="1" t="inlineStr">
        <is>
          <t>Labor cost</t>
        </is>
      </c>
      <c r="B18" s="7">
        <f>OwnLaborHoursUsed*OwnWageRate+TempLaborHoursUsed*TempWageRate</f>
        <v/>
      </c>
    </row>
    <row r="20">
      <c r="A20" s="1" t="inlineStr">
        <is>
          <t>Revenue and other costs</t>
        </is>
      </c>
    </row>
    <row r="21">
      <c r="A21" t="inlineStr">
        <is>
          <t>Revenue</t>
        </is>
      </c>
      <c r="B21" s="5">
        <f>BedsTomatoes*RevenuePerBedTomatoes+BedsCarrots*RevenuePerBedCarrots+BedsMesclun*RevenuePerBedMesclun</f>
        <v/>
      </c>
    </row>
    <row r="22">
      <c r="A22" t="inlineStr">
        <is>
          <t>Fertilizer cost</t>
        </is>
      </c>
      <c r="B22" s="5">
        <f>BedsTomatoes*FertilizerPerBedTomatoes+BedsCarrots*FertilizerPerBedCarrots+BedsMesclun*FertilizerPerBedMesclun</f>
        <v/>
      </c>
    </row>
    <row r="23">
      <c r="A23" s="1" t="inlineStr">
        <is>
          <t>Total cost</t>
        </is>
      </c>
      <c r="B23" s="7">
        <f>FixedCosts+FertilizerCost+LaborCost</f>
        <v/>
      </c>
    </row>
    <row r="24">
      <c r="A24" s="1" t="inlineStr">
        <is>
          <t>Profit</t>
        </is>
      </c>
      <c r="B24" s="7">
        <f>Revenue-TotalCost</f>
        <v/>
      </c>
    </row>
    <row r="26">
      <c r="A26" s="1" t="inlineStr">
        <is>
          <t>Constraint checks (Solver: Subject to the Constraints)</t>
        </is>
      </c>
    </row>
    <row r="27">
      <c r="A27" t="inlineStr">
        <is>
          <t>Total beds planted</t>
        </is>
      </c>
      <c r="B27" s="2">
        <f>BedsTomatoes+BedsCarrots+BedsMesclun</f>
        <v/>
      </c>
      <c r="C27" t="inlineStr">
        <is>
          <t>&lt;= TotalBedCap (64)</t>
        </is>
      </c>
    </row>
    <row r="28">
      <c r="A28" t="inlineStr">
        <is>
          <t>Total labor hours vs. capacity</t>
        </is>
      </c>
      <c r="B28" s="3">
        <f>OwnLaborHours+TempLaborCapacity</f>
        <v/>
      </c>
      <c r="C28" t="inlineStr">
        <is>
          <t>TotalLaborHours &lt;= this (6,480 hrs)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B18" sqref="B18"/>
    </sheetView>
  </sheetViews>
  <sheetFormatPr baseColWidth="8" defaultRowHeight="14.4"/>
  <cols>
    <col width="27.33203125" customWidth="1" min="1" max="1"/>
    <col width="10.77734375" customWidth="1" min="2" max="2"/>
  </cols>
  <sheetData>
    <row r="1">
      <c r="A1" s="1" t="inlineStr">
        <is>
          <t>Perfect Competition — Output</t>
        </is>
      </c>
    </row>
    <row r="3">
      <c r="A3" s="1" t="inlineStr">
        <is>
          <t>Solver setup</t>
        </is>
      </c>
    </row>
    <row r="4">
      <c r="A4" s="1" t="inlineStr">
        <is>
          <t>Set Objective</t>
        </is>
      </c>
      <c r="B4" t="inlineStr">
        <is>
          <t>Calc!$B$24  (Profit)</t>
        </is>
      </c>
    </row>
    <row r="5">
      <c r="A5" s="1" t="inlineStr">
        <is>
          <t>To</t>
        </is>
      </c>
      <c r="B5" t="inlineStr">
        <is>
          <t>Max</t>
        </is>
      </c>
    </row>
    <row r="6">
      <c r="A6" s="1" t="inlineStr">
        <is>
          <t>By Changing Variable Cells</t>
        </is>
      </c>
      <c r="B6" t="inlineStr">
        <is>
          <t>Calc!$B$4:$B$6  (BedsTomatoes, BedsCarrots, BedsMesclun)</t>
        </is>
      </c>
    </row>
    <row r="7">
      <c r="A7" s="1" t="inlineStr">
        <is>
          <t>Constraint 1</t>
        </is>
      </c>
      <c r="B7" t="inlineStr">
        <is>
          <t>Calc!$B$4 &lt;= 20  (MaxBedsTomatoes)</t>
        </is>
      </c>
    </row>
    <row r="8">
      <c r="A8" s="1" t="inlineStr">
        <is>
          <t>Constraint 2</t>
        </is>
      </c>
      <c r="B8" t="inlineStr">
        <is>
          <t>Calc!$B$5 &lt;= 20  (MaxBedsCarrots)</t>
        </is>
      </c>
    </row>
    <row r="9">
      <c r="A9" s="1" t="inlineStr">
        <is>
          <t>Constraint 3</t>
        </is>
      </c>
      <c r="B9" t="inlineStr">
        <is>
          <t>Calc!$B$6 &lt;= 30  (MaxBedsMesclun)</t>
        </is>
      </c>
    </row>
    <row r="10">
      <c r="A10" s="1" t="inlineStr">
        <is>
          <t>Constraint 4</t>
        </is>
      </c>
      <c r="B10" t="inlineStr">
        <is>
          <t>Calc!$B$27 &lt;= 64  (TotalBedsPlanted &lt;= TotalBedCap)</t>
        </is>
      </c>
    </row>
    <row r="11">
      <c r="A11" s="1" t="inlineStr">
        <is>
          <t>Constraint 5</t>
        </is>
      </c>
      <c r="B11" t="inlineStr">
        <is>
          <t>Calc!$B$12 &lt;= Calc!$B$28  (TotalLaborHours &lt;= TotalLaborCapacity)</t>
        </is>
      </c>
    </row>
    <row r="12">
      <c r="A12" s="1" t="inlineStr">
        <is>
          <t>Constraint 6</t>
        </is>
      </c>
      <c r="B12" t="inlineStr">
        <is>
          <t>Calc!$B$4:$B$6 = integer</t>
        </is>
      </c>
    </row>
    <row r="13">
      <c r="A13" s="1" t="inlineStr">
        <is>
          <t>Constraint 7</t>
        </is>
      </c>
      <c r="B13" t="inlineStr">
        <is>
          <t>Calc!$B$4:$B$6 &gt;= 0</t>
        </is>
      </c>
    </row>
    <row r="14" ht="43.2" customHeight="1">
      <c r="A14" s="1" t="inlineStr">
        <is>
          <t>Solving Method</t>
        </is>
      </c>
      <c r="B14" s="9" t="inlineStr">
        <is>
          <t>Try GRG Nonlinear first; switch to Evolutionary if it stalls or returns a different answer from different starting beds (the exponential diminishing-returns term and the MIN/MAX wage tiers make this non-smooth, so GRG can settle on a local optimum).</t>
        </is>
      </c>
    </row>
    <row r="15">
      <c r="A15" s="1" t="inlineStr">
        <is>
          <t>Options</t>
        </is>
      </c>
      <c r="B15" t="inlineStr">
        <is>
          <t>Check "Make Unconstrained Variables Non-Negative"</t>
        </is>
      </c>
    </row>
    <row r="17">
      <c r="A17" s="1" t="inlineStr">
        <is>
          <t>Current values (Calc sheet — update after running Solver)</t>
        </is>
      </c>
    </row>
    <row r="18">
      <c r="A18" t="inlineStr">
        <is>
          <t>Beds — Tomatoes</t>
        </is>
      </c>
      <c r="B18" s="2">
        <f>BedsTomatoes</f>
        <v/>
      </c>
    </row>
    <row r="19">
      <c r="A19" t="inlineStr">
        <is>
          <t>Beds — Carrots</t>
        </is>
      </c>
      <c r="B19" s="2">
        <f>BedsCarrots</f>
        <v/>
      </c>
    </row>
    <row r="20">
      <c r="A20" t="inlineStr">
        <is>
          <t>Beds — Mesclun</t>
        </is>
      </c>
      <c r="B20" s="2">
        <f>BedsMesclun</f>
        <v/>
      </c>
    </row>
    <row r="21">
      <c r="A21" s="1" t="inlineStr">
        <is>
          <t>Total beds planted</t>
        </is>
      </c>
      <c r="B21" s="8">
        <f>TotalBedsPlanted</f>
        <v/>
      </c>
    </row>
    <row r="22">
      <c r="A22" t="inlineStr">
        <is>
          <t>Total labor hours</t>
        </is>
      </c>
      <c r="B22" s="3">
        <f>TotalLaborHours</f>
        <v/>
      </c>
    </row>
    <row r="23">
      <c r="A23" t="inlineStr">
        <is>
          <t>Revenue</t>
        </is>
      </c>
      <c r="B23" s="5">
        <f>Revenue</f>
        <v/>
      </c>
    </row>
    <row r="24">
      <c r="A24" t="inlineStr">
        <is>
          <t>Total cost</t>
        </is>
      </c>
      <c r="B24" s="5">
        <f>TotalCost</f>
        <v/>
      </c>
    </row>
    <row r="25">
      <c r="A25" s="1" t="inlineStr">
        <is>
          <t>Profit</t>
        </is>
      </c>
      <c r="B25" s="7">
        <f>Profit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2026-09-18T03:00:38Z</dcterms:created>
  <dcterms:modified xsi:type="dcterms:W3CDTF">2026-09-22T09:20:49Z</dcterms:modified>
  <cp:lastModifiedBy>Ryan Moore</cp:lastModifiedBy>
</cp:coreProperties>
</file>